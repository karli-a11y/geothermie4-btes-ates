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GeneralData\Teaching\Courses\Geothermie\Bachelor und Master\Geothermie IV (MSc) ONG, MTG, Speicher\2025\Assigments\Übung 2\"/>
    </mc:Choice>
  </mc:AlternateContent>
  <xr:revisionPtr revIDLastSave="0" documentId="13_ncr:1_{73278416-DB21-48A5-914C-A3F53F632A1D}" xr6:coauthVersionLast="37" xr6:coauthVersionMax="37" xr10:uidLastSave="{00000000-0000-0000-0000-000000000000}"/>
  <bookViews>
    <workbookView xWindow="0" yWindow="0" windowWidth="28800" windowHeight="12105" activeTab="1" xr2:uid="{00000000-000D-0000-FFFF-FFFF00000000}"/>
  </bookViews>
  <sheets>
    <sheet name="Solares Dargebot" sheetId="8" r:id="rId1"/>
    <sheet name="Vakuum-Röhrenkollektor" sheetId="10" r:id="rId2"/>
    <sheet name="Flachkollektor" sheetId="12" r:id="rId3"/>
    <sheet name="Typen" sheetId="7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0" l="1"/>
  <c r="C15" i="12"/>
  <c r="C17" i="12"/>
  <c r="C19" i="10"/>
  <c r="C29" i="8"/>
  <c r="O16" i="10"/>
  <c r="K24" i="12" l="1"/>
  <c r="L20" i="12"/>
  <c r="N15" i="12"/>
  <c r="N16" i="12" s="1"/>
  <c r="M15" i="12"/>
  <c r="M17" i="12" s="1"/>
  <c r="L15" i="12"/>
  <c r="L18" i="12" s="1"/>
  <c r="K15" i="12"/>
  <c r="K19" i="12" s="1"/>
  <c r="J15" i="12"/>
  <c r="J20" i="12" s="1"/>
  <c r="I15" i="12"/>
  <c r="I21" i="12" s="1"/>
  <c r="H15" i="12"/>
  <c r="H22" i="12" s="1"/>
  <c r="G15" i="12"/>
  <c r="G23" i="12" s="1"/>
  <c r="F15" i="12"/>
  <c r="F24" i="12" s="1"/>
  <c r="E15" i="12"/>
  <c r="E25" i="12" s="1"/>
  <c r="D15" i="12"/>
  <c r="D26" i="12" s="1"/>
  <c r="C27" i="12"/>
  <c r="L17" i="10"/>
  <c r="L18" i="10"/>
  <c r="L19" i="10"/>
  <c r="L20" i="10"/>
  <c r="C21" i="10"/>
  <c r="L21" i="10"/>
  <c r="C22" i="10"/>
  <c r="L22" i="10"/>
  <c r="C23" i="10"/>
  <c r="I23" i="10"/>
  <c r="L23" i="10"/>
  <c r="C24" i="10"/>
  <c r="I24" i="10"/>
  <c r="L24" i="10"/>
  <c r="C25" i="10"/>
  <c r="I25" i="10"/>
  <c r="L25" i="10"/>
  <c r="C26" i="10"/>
  <c r="I26" i="10"/>
  <c r="L26" i="10"/>
  <c r="C27" i="10"/>
  <c r="G27" i="10"/>
  <c r="I27" i="10"/>
  <c r="L27" i="10"/>
  <c r="D16" i="10"/>
  <c r="G16" i="10"/>
  <c r="L16" i="10"/>
  <c r="M16" i="10"/>
  <c r="O29" i="8"/>
  <c r="D29" i="8"/>
  <c r="E29" i="8"/>
  <c r="F29" i="8"/>
  <c r="G29" i="8"/>
  <c r="H29" i="8"/>
  <c r="I29" i="8"/>
  <c r="J29" i="8"/>
  <c r="K29" i="8"/>
  <c r="L29" i="8"/>
  <c r="M29" i="8"/>
  <c r="N29" i="8"/>
  <c r="C30" i="8"/>
  <c r="O30" i="8" s="1"/>
  <c r="D30" i="8"/>
  <c r="E30" i="8"/>
  <c r="F30" i="8"/>
  <c r="G30" i="8"/>
  <c r="H30" i="8"/>
  <c r="I30" i="8"/>
  <c r="J30" i="8"/>
  <c r="K30" i="8"/>
  <c r="L30" i="8"/>
  <c r="M30" i="8"/>
  <c r="N30" i="8"/>
  <c r="C31" i="8"/>
  <c r="O31" i="8" s="1"/>
  <c r="D31" i="8"/>
  <c r="E31" i="8"/>
  <c r="F31" i="8"/>
  <c r="G31" i="8"/>
  <c r="H31" i="8"/>
  <c r="I31" i="8"/>
  <c r="J31" i="8"/>
  <c r="K31" i="8"/>
  <c r="L31" i="8"/>
  <c r="M31" i="8"/>
  <c r="N31" i="8"/>
  <c r="C32" i="8"/>
  <c r="O32" i="8" s="1"/>
  <c r="D32" i="8"/>
  <c r="E32" i="8"/>
  <c r="F32" i="8"/>
  <c r="G32" i="8"/>
  <c r="H32" i="8"/>
  <c r="I32" i="8"/>
  <c r="J32" i="8"/>
  <c r="K32" i="8"/>
  <c r="L32" i="8"/>
  <c r="M32" i="8"/>
  <c r="N32" i="8"/>
  <c r="C33" i="8"/>
  <c r="O33" i="8" s="1"/>
  <c r="D33" i="8"/>
  <c r="E33" i="8"/>
  <c r="F33" i="8"/>
  <c r="G33" i="8"/>
  <c r="H33" i="8"/>
  <c r="I33" i="8"/>
  <c r="J33" i="8"/>
  <c r="K33" i="8"/>
  <c r="L33" i="8"/>
  <c r="M33" i="8"/>
  <c r="N33" i="8"/>
  <c r="C34" i="8"/>
  <c r="O34" i="8" s="1"/>
  <c r="D34" i="8"/>
  <c r="E34" i="8"/>
  <c r="F34" i="8"/>
  <c r="G34" i="8"/>
  <c r="H34" i="8"/>
  <c r="I34" i="8"/>
  <c r="J34" i="8"/>
  <c r="K34" i="8"/>
  <c r="L34" i="8"/>
  <c r="M34" i="8"/>
  <c r="N34" i="8"/>
  <c r="C35" i="8"/>
  <c r="O35" i="8" s="1"/>
  <c r="D35" i="8"/>
  <c r="E35" i="8"/>
  <c r="F35" i="8"/>
  <c r="G35" i="8"/>
  <c r="H35" i="8"/>
  <c r="I35" i="8"/>
  <c r="J35" i="8"/>
  <c r="K35" i="8"/>
  <c r="L35" i="8"/>
  <c r="M35" i="8"/>
  <c r="N35" i="8"/>
  <c r="C36" i="8"/>
  <c r="O36" i="8" s="1"/>
  <c r="D36" i="8"/>
  <c r="E36" i="8"/>
  <c r="F36" i="8"/>
  <c r="G36" i="8"/>
  <c r="H36" i="8"/>
  <c r="I36" i="8"/>
  <c r="J36" i="8"/>
  <c r="K36" i="8"/>
  <c r="L36" i="8"/>
  <c r="M36" i="8"/>
  <c r="N36" i="8"/>
  <c r="C37" i="8"/>
  <c r="O37" i="8" s="1"/>
  <c r="D37" i="8"/>
  <c r="E37" i="8"/>
  <c r="F37" i="8"/>
  <c r="G37" i="8"/>
  <c r="H37" i="8"/>
  <c r="I37" i="8"/>
  <c r="J37" i="8"/>
  <c r="K37" i="8"/>
  <c r="L37" i="8"/>
  <c r="M37" i="8"/>
  <c r="N37" i="8"/>
  <c r="C38" i="8"/>
  <c r="D38" i="8"/>
  <c r="E38" i="8"/>
  <c r="F38" i="8"/>
  <c r="G38" i="8"/>
  <c r="H38" i="8"/>
  <c r="I38" i="8"/>
  <c r="J38" i="8"/>
  <c r="K38" i="8"/>
  <c r="L38" i="8"/>
  <c r="M38" i="8"/>
  <c r="N38" i="8"/>
  <c r="C39" i="8"/>
  <c r="O39" i="8" s="1"/>
  <c r="D39" i="8"/>
  <c r="E39" i="8"/>
  <c r="F39" i="8"/>
  <c r="G39" i="8"/>
  <c r="H39" i="8"/>
  <c r="I39" i="8"/>
  <c r="J39" i="8"/>
  <c r="K39" i="8"/>
  <c r="L39" i="8"/>
  <c r="M39" i="8"/>
  <c r="N39" i="8"/>
  <c r="D28" i="8"/>
  <c r="E28" i="8"/>
  <c r="F28" i="8"/>
  <c r="G28" i="8"/>
  <c r="H28" i="8"/>
  <c r="I28" i="8"/>
  <c r="J28" i="8"/>
  <c r="K28" i="8"/>
  <c r="L28" i="8"/>
  <c r="M28" i="8"/>
  <c r="N28" i="8"/>
  <c r="C28" i="8"/>
  <c r="O38" i="8"/>
  <c r="O9" i="8"/>
  <c r="D15" i="10"/>
  <c r="D17" i="10" s="1"/>
  <c r="E15" i="10"/>
  <c r="E16" i="10" s="1"/>
  <c r="F15" i="10"/>
  <c r="F25" i="10" s="1"/>
  <c r="G15" i="10"/>
  <c r="G17" i="10" s="1"/>
  <c r="H15" i="10"/>
  <c r="H16" i="10" s="1"/>
  <c r="I15" i="10"/>
  <c r="I16" i="10" s="1"/>
  <c r="J15" i="10"/>
  <c r="J16" i="10" s="1"/>
  <c r="K15" i="10"/>
  <c r="K27" i="10" s="1"/>
  <c r="L15" i="10"/>
  <c r="M15" i="10"/>
  <c r="M17" i="10" s="1"/>
  <c r="N15" i="10"/>
  <c r="N16" i="10" s="1"/>
  <c r="C15" i="10"/>
  <c r="C16" i="10" s="1"/>
  <c r="K25" i="10" l="1"/>
  <c r="K24" i="10"/>
  <c r="K23" i="10"/>
  <c r="K22" i="10"/>
  <c r="K21" i="10"/>
  <c r="K20" i="10"/>
  <c r="K19" i="10"/>
  <c r="K18" i="10"/>
  <c r="K17" i="10"/>
  <c r="K16" i="10"/>
  <c r="J27" i="10"/>
  <c r="J26" i="10"/>
  <c r="J25" i="10"/>
  <c r="J24" i="10"/>
  <c r="J23" i="10"/>
  <c r="J22" i="10"/>
  <c r="J21" i="10"/>
  <c r="J20" i="10"/>
  <c r="J19" i="10"/>
  <c r="J18" i="10"/>
  <c r="J17" i="10"/>
  <c r="I22" i="10"/>
  <c r="I21" i="10"/>
  <c r="I20" i="10"/>
  <c r="I19" i="10"/>
  <c r="I18" i="10"/>
  <c r="I17" i="10"/>
  <c r="H27" i="10"/>
  <c r="H26" i="10"/>
  <c r="H25" i="10"/>
  <c r="H24" i="10"/>
  <c r="H23" i="10"/>
  <c r="H22" i="10"/>
  <c r="H21" i="10"/>
  <c r="H20" i="10"/>
  <c r="H19" i="10"/>
  <c r="H18" i="10"/>
  <c r="H17" i="10"/>
  <c r="K26" i="10"/>
  <c r="G26" i="10"/>
  <c r="G25" i="10"/>
  <c r="G24" i="10"/>
  <c r="G23" i="10"/>
  <c r="G22" i="10"/>
  <c r="G21" i="10"/>
  <c r="G20" i="10"/>
  <c r="G19" i="10"/>
  <c r="G18" i="10"/>
  <c r="F27" i="10"/>
  <c r="F26" i="10"/>
  <c r="F23" i="10"/>
  <c r="F22" i="10"/>
  <c r="F21" i="10"/>
  <c r="F20" i="10"/>
  <c r="F19" i="10"/>
  <c r="F18" i="10"/>
  <c r="F17" i="10"/>
  <c r="F24" i="10"/>
  <c r="F16" i="10"/>
  <c r="E27" i="10"/>
  <c r="E26" i="10"/>
  <c r="E25" i="10"/>
  <c r="E24" i="10"/>
  <c r="E23" i="10"/>
  <c r="E22" i="10"/>
  <c r="E21" i="10"/>
  <c r="E20" i="10"/>
  <c r="E19" i="10"/>
  <c r="E18" i="10"/>
  <c r="E17" i="10"/>
  <c r="D27" i="10"/>
  <c r="D26" i="10"/>
  <c r="D25" i="10"/>
  <c r="D24" i="10"/>
  <c r="D23" i="10"/>
  <c r="D22" i="10"/>
  <c r="D21" i="10"/>
  <c r="D20" i="10"/>
  <c r="D19" i="10"/>
  <c r="D18" i="10"/>
  <c r="C20" i="10"/>
  <c r="C18" i="10"/>
  <c r="N27" i="10"/>
  <c r="N26" i="10"/>
  <c r="N25" i="10"/>
  <c r="N24" i="10"/>
  <c r="N23" i="10"/>
  <c r="N22" i="10"/>
  <c r="N21" i="10"/>
  <c r="N20" i="10"/>
  <c r="N19" i="10"/>
  <c r="N18" i="10"/>
  <c r="N17" i="10"/>
  <c r="M27" i="10"/>
  <c r="M26" i="10"/>
  <c r="M25" i="10"/>
  <c r="M24" i="10"/>
  <c r="M23" i="10"/>
  <c r="M22" i="10"/>
  <c r="M21" i="10"/>
  <c r="M20" i="10"/>
  <c r="M19" i="10"/>
  <c r="M18" i="10"/>
  <c r="E26" i="12"/>
  <c r="E27" i="12"/>
  <c r="M18" i="12"/>
  <c r="M19" i="12"/>
  <c r="L21" i="12"/>
  <c r="M21" i="12"/>
  <c r="M22" i="12"/>
  <c r="L24" i="12"/>
  <c r="I25" i="12"/>
  <c r="J22" i="12"/>
  <c r="G27" i="12"/>
  <c r="L22" i="12"/>
  <c r="L23" i="12"/>
  <c r="H16" i="12"/>
  <c r="M23" i="12"/>
  <c r="G16" i="12"/>
  <c r="E17" i="12"/>
  <c r="G24" i="12"/>
  <c r="M20" i="12"/>
  <c r="M25" i="12"/>
  <c r="N19" i="12"/>
  <c r="K20" i="12"/>
  <c r="N24" i="12"/>
  <c r="H27" i="12"/>
  <c r="J16" i="12"/>
  <c r="N22" i="12"/>
  <c r="F25" i="12"/>
  <c r="H23" i="12"/>
  <c r="I17" i="12"/>
  <c r="N20" i="12"/>
  <c r="I23" i="12"/>
  <c r="J25" i="12"/>
  <c r="N17" i="12"/>
  <c r="J21" i="12"/>
  <c r="K23" i="12"/>
  <c r="K25" i="12"/>
  <c r="E18" i="12"/>
  <c r="K21" i="12"/>
  <c r="H26" i="12"/>
  <c r="E19" i="12"/>
  <c r="N21" i="12"/>
  <c r="H24" i="12"/>
  <c r="I26" i="12"/>
  <c r="N18" i="12"/>
  <c r="L19" i="12"/>
  <c r="I22" i="12"/>
  <c r="J24" i="12"/>
  <c r="D27" i="12"/>
  <c r="D16" i="12"/>
  <c r="G25" i="12"/>
  <c r="F26" i="12"/>
  <c r="E16" i="12"/>
  <c r="D17" i="12"/>
  <c r="C18" i="12"/>
  <c r="K22" i="12"/>
  <c r="J23" i="12"/>
  <c r="I24" i="12"/>
  <c r="H25" i="12"/>
  <c r="G26" i="12"/>
  <c r="F27" i="12"/>
  <c r="C16" i="12"/>
  <c r="C20" i="12"/>
  <c r="D18" i="12"/>
  <c r="F17" i="12"/>
  <c r="D20" i="12"/>
  <c r="C21" i="12"/>
  <c r="J26" i="12"/>
  <c r="I27" i="12"/>
  <c r="F16" i="12"/>
  <c r="G17" i="12"/>
  <c r="F18" i="12"/>
  <c r="I16" i="12"/>
  <c r="H17" i="12"/>
  <c r="G18" i="12"/>
  <c r="F19" i="12"/>
  <c r="E20" i="12"/>
  <c r="D21" i="12"/>
  <c r="C22" i="12"/>
  <c r="N23" i="12"/>
  <c r="M24" i="12"/>
  <c r="L25" i="12"/>
  <c r="K26" i="12"/>
  <c r="J27" i="12"/>
  <c r="D19" i="12"/>
  <c r="H18" i="12"/>
  <c r="G19" i="12"/>
  <c r="F20" i="12"/>
  <c r="E21" i="12"/>
  <c r="D22" i="12"/>
  <c r="C23" i="12"/>
  <c r="L26" i="12"/>
  <c r="K27" i="12"/>
  <c r="K16" i="12"/>
  <c r="J17" i="12"/>
  <c r="I18" i="12"/>
  <c r="H19" i="12"/>
  <c r="G20" i="12"/>
  <c r="F21" i="12"/>
  <c r="E22" i="12"/>
  <c r="D23" i="12"/>
  <c r="C24" i="12"/>
  <c r="N25" i="12"/>
  <c r="M26" i="12"/>
  <c r="L27" i="12"/>
  <c r="L16" i="12"/>
  <c r="K17" i="12"/>
  <c r="J18" i="12"/>
  <c r="I19" i="12"/>
  <c r="H20" i="12"/>
  <c r="G21" i="12"/>
  <c r="F22" i="12"/>
  <c r="E23" i="12"/>
  <c r="D24" i="12"/>
  <c r="C25" i="12"/>
  <c r="N26" i="12"/>
  <c r="M27" i="12"/>
  <c r="M16" i="12"/>
  <c r="L17" i="12"/>
  <c r="K18" i="12"/>
  <c r="J19" i="12"/>
  <c r="I20" i="12"/>
  <c r="H21" i="12"/>
  <c r="G22" i="12"/>
  <c r="F23" i="12"/>
  <c r="E24" i="12"/>
  <c r="D25" i="12"/>
  <c r="C26" i="12"/>
  <c r="N27" i="12"/>
  <c r="C19" i="12"/>
  <c r="O28" i="8"/>
  <c r="C10" i="8"/>
  <c r="O23" i="12" l="1"/>
  <c r="O27" i="12"/>
  <c r="O19" i="12"/>
  <c r="O18" i="12"/>
  <c r="O26" i="12"/>
  <c r="O22" i="12"/>
  <c r="O21" i="12"/>
  <c r="O25" i="12"/>
  <c r="O24" i="12"/>
  <c r="O20" i="12"/>
  <c r="O16" i="12"/>
  <c r="O17" i="12"/>
  <c r="C11" i="8" l="1"/>
  <c r="E10" i="8"/>
  <c r="E11" i="8" s="1"/>
  <c r="D10" i="8"/>
  <c r="D11" i="8" s="1"/>
  <c r="F5" i="8"/>
  <c r="F10" i="8" s="1"/>
  <c r="F11" i="8" s="1"/>
  <c r="F14" i="8" l="1"/>
  <c r="F20" i="8"/>
  <c r="F16" i="8"/>
  <c r="F18" i="8"/>
  <c r="F22" i="8"/>
  <c r="F15" i="8"/>
  <c r="F19" i="8"/>
  <c r="F23" i="8"/>
  <c r="F12" i="8"/>
  <c r="F13" i="8"/>
  <c r="F17" i="8"/>
  <c r="F21" i="8"/>
  <c r="D12" i="8"/>
  <c r="D23" i="8"/>
  <c r="D21" i="8"/>
  <c r="D13" i="8"/>
  <c r="D14" i="8"/>
  <c r="D15" i="8"/>
  <c r="D16" i="8"/>
  <c r="D17" i="8"/>
  <c r="D18" i="8"/>
  <c r="D19" i="8"/>
  <c r="D20" i="8"/>
  <c r="D22" i="8"/>
  <c r="E12" i="8"/>
  <c r="E13" i="8"/>
  <c r="E14" i="8"/>
  <c r="E15" i="8"/>
  <c r="E16" i="8"/>
  <c r="E17" i="8"/>
  <c r="E18" i="8"/>
  <c r="E19" i="8"/>
  <c r="E20" i="8"/>
  <c r="E21" i="8"/>
  <c r="E22" i="8"/>
  <c r="E23" i="8"/>
  <c r="C12" i="8"/>
  <c r="C19" i="8"/>
  <c r="C22" i="8"/>
  <c r="C13" i="8"/>
  <c r="C14" i="8"/>
  <c r="C15" i="8"/>
  <c r="C16" i="8"/>
  <c r="C17" i="8"/>
  <c r="C18" i="8"/>
  <c r="C20" i="8"/>
  <c r="C21" i="8"/>
  <c r="C23" i="8"/>
  <c r="G5" i="8"/>
  <c r="H5" i="8" l="1"/>
  <c r="G10" i="8"/>
  <c r="G11" i="8" s="1"/>
  <c r="G19" i="8" l="1"/>
  <c r="G17" i="8"/>
  <c r="G18" i="8"/>
  <c r="G20" i="8"/>
  <c r="G14" i="8"/>
  <c r="G16" i="8"/>
  <c r="G22" i="8"/>
  <c r="G13" i="8"/>
  <c r="G15" i="8"/>
  <c r="G21" i="8"/>
  <c r="G12" i="8"/>
  <c r="G23" i="8"/>
  <c r="I5" i="8"/>
  <c r="H10" i="8"/>
  <c r="H11" i="8" s="1"/>
  <c r="H13" i="8" l="1"/>
  <c r="H14" i="8"/>
  <c r="H15" i="8"/>
  <c r="H16" i="8"/>
  <c r="H17" i="8"/>
  <c r="H18" i="8"/>
  <c r="H19" i="8"/>
  <c r="H20" i="8"/>
  <c r="H21" i="8"/>
  <c r="H22" i="8"/>
  <c r="H23" i="8"/>
  <c r="H12" i="8"/>
  <c r="J5" i="8"/>
  <c r="I10" i="8"/>
  <c r="I11" i="8" s="1"/>
  <c r="I12" i="8" l="1"/>
  <c r="I13" i="8"/>
  <c r="I14" i="8"/>
  <c r="I15" i="8"/>
  <c r="I16" i="8"/>
  <c r="I17" i="8"/>
  <c r="I18" i="8"/>
  <c r="I19" i="8"/>
  <c r="I20" i="8"/>
  <c r="I21" i="8"/>
  <c r="I22" i="8"/>
  <c r="I23" i="8"/>
  <c r="J10" i="8"/>
  <c r="J11" i="8" s="1"/>
  <c r="K5" i="8"/>
  <c r="J12" i="8" l="1"/>
  <c r="J13" i="8"/>
  <c r="J14" i="8"/>
  <c r="J15" i="8"/>
  <c r="J16" i="8"/>
  <c r="J17" i="8"/>
  <c r="J18" i="8"/>
  <c r="J19" i="8"/>
  <c r="J20" i="8"/>
  <c r="J21" i="8"/>
  <c r="J22" i="8"/>
  <c r="J23" i="8"/>
  <c r="L5" i="8"/>
  <c r="K10" i="8"/>
  <c r="K11" i="8" s="1"/>
  <c r="K12" i="8" l="1"/>
  <c r="K13" i="8"/>
  <c r="K14" i="8"/>
  <c r="K15" i="8"/>
  <c r="K16" i="8"/>
  <c r="K17" i="8"/>
  <c r="K18" i="8"/>
  <c r="K19" i="8"/>
  <c r="K20" i="8"/>
  <c r="K21" i="8"/>
  <c r="K22" i="8"/>
  <c r="K23" i="8"/>
  <c r="M5" i="8"/>
  <c r="L10" i="8"/>
  <c r="L11" i="8" s="1"/>
  <c r="L12" i="8" l="1"/>
  <c r="L13" i="8"/>
  <c r="L14" i="8"/>
  <c r="L15" i="8"/>
  <c r="L16" i="8"/>
  <c r="L17" i="8"/>
  <c r="L18" i="8"/>
  <c r="L19" i="8"/>
  <c r="L20" i="8"/>
  <c r="L21" i="8"/>
  <c r="L22" i="8"/>
  <c r="L23" i="8"/>
  <c r="N5" i="8"/>
  <c r="N10" i="8" s="1"/>
  <c r="N11" i="8" s="1"/>
  <c r="M10" i="8"/>
  <c r="M11" i="8" s="1"/>
  <c r="M15" i="8" l="1"/>
  <c r="M19" i="8"/>
  <c r="M12" i="8"/>
  <c r="M13" i="8"/>
  <c r="M16" i="8"/>
  <c r="M18" i="8"/>
  <c r="M21" i="8"/>
  <c r="M23" i="8"/>
  <c r="M14" i="8"/>
  <c r="M17" i="8"/>
  <c r="M20" i="8"/>
  <c r="M22" i="8"/>
  <c r="N12" i="8"/>
  <c r="N13" i="8"/>
  <c r="N14" i="8"/>
  <c r="N15" i="8"/>
  <c r="N16" i="8"/>
  <c r="N17" i="8"/>
  <c r="N18" i="8"/>
  <c r="N19" i="8"/>
  <c r="N20" i="8"/>
  <c r="N21" i="8"/>
  <c r="N22" i="8"/>
  <c r="N23" i="8"/>
  <c r="O13" i="8"/>
  <c r="O22" i="10" l="1"/>
  <c r="O12" i="8"/>
  <c r="O25" i="10"/>
  <c r="O21" i="10"/>
  <c r="O23" i="10"/>
  <c r="O19" i="8"/>
  <c r="O22" i="8"/>
  <c r="O18" i="8"/>
  <c r="O17" i="8"/>
  <c r="O20" i="10"/>
  <c r="O16" i="8"/>
  <c r="O27" i="10"/>
  <c r="O23" i="8"/>
  <c r="O21" i="8"/>
  <c r="O19" i="10"/>
  <c r="O15" i="8"/>
  <c r="O24" i="10"/>
  <c r="O18" i="10"/>
  <c r="O17" i="10"/>
  <c r="O20" i="8"/>
  <c r="O14" i="8"/>
  <c r="O26" i="10" l="1"/>
</calcChain>
</file>

<file path=xl/sharedStrings.xml><?xml version="1.0" encoding="utf-8"?>
<sst xmlns="http://schemas.openxmlformats.org/spreadsheetml/2006/main" count="114" uniqueCount="65">
  <si>
    <t>€</t>
  </si>
  <si>
    <t>-</t>
  </si>
  <si>
    <t>m²</t>
  </si>
  <si>
    <t>Typ</t>
  </si>
  <si>
    <t>Name</t>
  </si>
  <si>
    <t>Vakuum-Röhrenkollektor</t>
  </si>
  <si>
    <t>Vitosol 200-T Typ SP2A</t>
  </si>
  <si>
    <t>Röhrenanzahl</t>
  </si>
  <si>
    <t>Wärmeverlustbeiwert k2</t>
  </si>
  <si>
    <t>Inhalt Flüssigkeit</t>
  </si>
  <si>
    <t>Wärmeverlustbeiwert k1</t>
  </si>
  <si>
    <t>l</t>
  </si>
  <si>
    <t>Zul. Betriebsdruck</t>
  </si>
  <si>
    <t>bar</t>
  </si>
  <si>
    <t>Wärmekapazität</t>
  </si>
  <si>
    <t>Flachkollektoren</t>
  </si>
  <si>
    <t>Vitosol 200-F</t>
  </si>
  <si>
    <t>Anstellwinkel</t>
  </si>
  <si>
    <t>°</t>
  </si>
  <si>
    <t>optischer Wirkungsgrad</t>
  </si>
  <si>
    <t>Kollektorgesamtfläche</t>
  </si>
  <si>
    <t>Kollektorpreis</t>
  </si>
  <si>
    <t>W/m²∙K</t>
  </si>
  <si>
    <t>W/(m²∙K)²</t>
  </si>
  <si>
    <t>kJ/(m²∙K)</t>
  </si>
  <si>
    <t>Vakuum-Röhrenkollektor Typ 1</t>
  </si>
  <si>
    <t>Vakuum-Röhrenkollektor Typ 2</t>
  </si>
  <si>
    <t>Vakuum-Röhrenkollektor Typ 3</t>
  </si>
  <si>
    <t>Flachkollektor Typ 1</t>
  </si>
  <si>
    <t>Flachkollektor Typ 2</t>
  </si>
  <si>
    <t>21/57</t>
  </si>
  <si>
    <t>Geogr. Breite</t>
  </si>
  <si>
    <t>Jan</t>
  </si>
  <si>
    <t>Feb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</si>
  <si>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</si>
  <si>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</si>
  <si>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</si>
  <si>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</si>
  <si>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</si>
  <si>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</si>
  <si>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</si>
  <si>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</si>
  <si>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</si>
  <si>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</si>
  <si>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Exemplarischer Tag des Jahres [d]</t>
  </si>
  <si>
    <t>Mittlere Einstahlung [kWh/m²/d]</t>
  </si>
  <si>
    <t>Monat</t>
  </si>
  <si>
    <t>Mittlere monatliche Einstrahlung [kWh/m²/month]</t>
  </si>
  <si>
    <r>
      <t xml:space="preserve">Mittlerer Deklinationswinkel </t>
    </r>
    <r>
      <rPr>
        <sz val="11"/>
        <color theme="1"/>
        <rFont val="Calibri"/>
        <family val="2"/>
      </rPr>
      <t>δ [°]</t>
    </r>
  </si>
  <si>
    <t>Kollektor-Anstellwinkel [°]</t>
  </si>
  <si>
    <r>
      <t xml:space="preserve">Mittlerer Einstrahlungswinkel auf eine horizontale Fläche </t>
    </r>
    <r>
      <rPr>
        <sz val="11"/>
        <color theme="1"/>
        <rFont val="Calibri"/>
        <family val="2"/>
      </rPr>
      <t>φ [°]</t>
    </r>
  </si>
  <si>
    <t>Summe [kWh/m²/a]</t>
  </si>
  <si>
    <t>Durchschnittliche Sonnenstunden [h/d]</t>
  </si>
  <si>
    <t>Durchschnittliche Außentemperatur [°C]</t>
  </si>
  <si>
    <t>Optische Effizienz</t>
  </si>
  <si>
    <t>Bruttokollektorfläche [m²]</t>
  </si>
  <si>
    <t>Aperturfläche [m²]</t>
  </si>
  <si>
    <t>Modulpreis [€]</t>
  </si>
  <si>
    <t>Wärmeverlustbeiwert k1 [W/m²/K]</t>
  </si>
  <si>
    <t>Wärmeverlustbeiwert k2 [W/m²/K²]</t>
  </si>
  <si>
    <t>mittlere Kollektortemperatur [°C]</t>
  </si>
  <si>
    <t>Durchschnittliche Temperaturdifferenz [K]</t>
  </si>
  <si>
    <t>Mittlerer monatlicher Kollektorertrag [kWh/m²/month]</t>
  </si>
  <si>
    <t>Monatstage [d]</t>
  </si>
  <si>
    <t>Mittlere Strahlungsintensität während der Sonnenstunden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</si>
</sst>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7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0" fillId="0" borderId="0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0" fillId="0" borderId="14" xfId="0" applyBorder="1"/>
    <xf numFmtId="0" fontId="0" fillId="0" borderId="21" xfId="0" applyBorder="1" applyAlignment="1">
      <alignment wrapText="1"/>
    </xf>
    <xf numFmtId="0" fontId="0" fillId="0" borderId="12" xfId="0" applyBorder="1"/>
    <xf numFmtId="0" fontId="0" fillId="0" borderId="15" xfId="0" applyBorder="1"/>
    <xf numFmtId="0" fontId="0" fillId="0" borderId="17" xfId="0" applyBorder="1"/>
    <xf numFmtId="0" fontId="1" fillId="0" borderId="2" xfId="0" applyFont="1" applyBorder="1" applyAlignment="1">
      <alignment wrapText="1"/>
    </xf>
    <xf numFmtId="0" fontId="1" fillId="0" borderId="22" xfId="0" applyFont="1" applyBorder="1"/>
    <xf numFmtId="2" fontId="0" fillId="0" borderId="15" xfId="0" applyNumberFormat="1" applyBorder="1"/>
    <xf numFmtId="2" fontId="0" fillId="0" borderId="0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1" fillId="0" borderId="23" xfId="0" applyNumberFormat="1" applyFont="1" applyBorder="1"/>
    <xf numFmtId="164" fontId="0" fillId="0" borderId="15" xfId="0" applyNumberFormat="1" applyBorder="1"/>
    <xf numFmtId="164" fontId="0" fillId="0" borderId="0" xfId="0" applyNumberFormat="1" applyBorder="1"/>
    <xf numFmtId="164" fontId="0" fillId="0" borderId="16" xfId="0" applyNumberFormat="1" applyBorder="1"/>
    <xf numFmtId="164" fontId="1" fillId="0" borderId="22" xfId="0" applyNumberFormat="1" applyFont="1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164" fontId="1" fillId="0" borderId="24" xfId="0" applyNumberFormat="1" applyFont="1" applyBorder="1"/>
    <xf numFmtId="0" fontId="0" fillId="0" borderId="15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6" xfId="0" applyBorder="1" applyAlignment="1">
      <alignment horizontal="right"/>
    </xf>
    <xf numFmtId="0" fontId="1" fillId="0" borderId="0" xfId="0" applyFont="1" applyFill="1"/>
    <xf numFmtId="0" fontId="0" fillId="0" borderId="0" xfId="0" applyFill="1" applyBorder="1"/>
    <xf numFmtId="0" fontId="0" fillId="0" borderId="12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2" borderId="18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6" xfId="0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workbookViewId="0">
      <selection activeCell="C30" sqref="C30"/>
    </sheetView>
  </sheetViews>
  <sheetFormatPr baseColWidth="10" defaultRowHeight="15" x14ac:dyDescent="0.25"/>
  <cols>
    <col min="2" max="2" width="39.85546875" customWidth="1"/>
  </cols>
  <sheetData>
    <row r="1" spans="1:15" x14ac:dyDescent="0.25">
      <c r="A1" s="53" t="s">
        <v>47</v>
      </c>
      <c r="B1" s="53"/>
    </row>
    <row r="2" spans="1:15" x14ac:dyDescent="0.25">
      <c r="A2" s="1"/>
      <c r="C2" t="s">
        <v>31</v>
      </c>
      <c r="D2">
        <v>49.86</v>
      </c>
    </row>
    <row r="3" spans="1:15" ht="15.75" thickBot="1" x14ac:dyDescent="0.3">
      <c r="A3" s="1"/>
    </row>
    <row r="4" spans="1:15" ht="45.75" thickBot="1" x14ac:dyDescent="0.3">
      <c r="A4" s="54" t="s">
        <v>46</v>
      </c>
      <c r="B4" s="55"/>
      <c r="C4" s="20" t="s">
        <v>32</v>
      </c>
      <c r="D4" s="20" t="s">
        <v>33</v>
      </c>
      <c r="E4" s="20" t="s">
        <v>34</v>
      </c>
      <c r="F4" s="20" t="s">
        <v>35</v>
      </c>
      <c r="G4" s="20" t="s">
        <v>36</v>
      </c>
      <c r="H4" s="20" t="s">
        <v>37</v>
      </c>
      <c r="I4" s="20" t="s">
        <v>38</v>
      </c>
      <c r="J4" s="20" t="s">
        <v>39</v>
      </c>
      <c r="K4" s="20" t="s">
        <v>40</v>
      </c>
      <c r="L4" s="20" t="s">
        <v>41</v>
      </c>
      <c r="M4" s="20" t="s">
        <v>42</v>
      </c>
      <c r="N4" s="20" t="s">
        <v>43</v>
      </c>
      <c r="O4" s="24" t="s">
        <v>51</v>
      </c>
    </row>
    <row r="5" spans="1:15" x14ac:dyDescent="0.25">
      <c r="A5" s="56" t="s">
        <v>44</v>
      </c>
      <c r="B5" s="57"/>
      <c r="C5" s="21">
        <v>15.5</v>
      </c>
      <c r="D5" s="18">
        <v>45</v>
      </c>
      <c r="E5" s="18">
        <v>74.5</v>
      </c>
      <c r="F5" s="18">
        <f>E5+30.5</f>
        <v>105</v>
      </c>
      <c r="G5" s="18">
        <f t="shared" ref="G5:N5" si="0">F5+30.5</f>
        <v>135.5</v>
      </c>
      <c r="H5" s="18">
        <f t="shared" si="0"/>
        <v>166</v>
      </c>
      <c r="I5" s="18">
        <f t="shared" si="0"/>
        <v>196.5</v>
      </c>
      <c r="J5" s="18">
        <f>I5+31</f>
        <v>227.5</v>
      </c>
      <c r="K5" s="18">
        <f t="shared" si="0"/>
        <v>258</v>
      </c>
      <c r="L5" s="18">
        <f t="shared" si="0"/>
        <v>288.5</v>
      </c>
      <c r="M5" s="18">
        <f t="shared" si="0"/>
        <v>319</v>
      </c>
      <c r="N5" s="19">
        <f t="shared" si="0"/>
        <v>349.5</v>
      </c>
      <c r="O5" s="25"/>
    </row>
    <row r="6" spans="1:15" x14ac:dyDescent="0.25">
      <c r="A6" s="56" t="s">
        <v>53</v>
      </c>
      <c r="B6" s="58"/>
      <c r="C6" s="22">
        <v>1.8</v>
      </c>
      <c r="D6" s="14">
        <v>2.2000000000000002</v>
      </c>
      <c r="E6" s="14">
        <v>5.8</v>
      </c>
      <c r="F6" s="14">
        <v>10.9</v>
      </c>
      <c r="G6" s="14">
        <v>14.3</v>
      </c>
      <c r="H6" s="14">
        <v>17.5</v>
      </c>
      <c r="I6" s="14">
        <v>19.5</v>
      </c>
      <c r="J6" s="14">
        <v>17.8</v>
      </c>
      <c r="K6" s="14">
        <v>14.5</v>
      </c>
      <c r="L6" s="14">
        <v>10.3</v>
      </c>
      <c r="M6" s="14">
        <v>6</v>
      </c>
      <c r="N6" s="15">
        <v>2.5</v>
      </c>
      <c r="O6" s="25"/>
    </row>
    <row r="7" spans="1:15" x14ac:dyDescent="0.25">
      <c r="A7" s="44"/>
      <c r="B7" s="46" t="s">
        <v>63</v>
      </c>
      <c r="C7" s="22">
        <v>31</v>
      </c>
      <c r="D7" s="48">
        <v>28</v>
      </c>
      <c r="E7" s="14">
        <v>31</v>
      </c>
      <c r="F7" s="48">
        <v>30</v>
      </c>
      <c r="G7" s="48">
        <v>31</v>
      </c>
      <c r="H7" s="48">
        <v>30</v>
      </c>
      <c r="I7" s="48">
        <v>31</v>
      </c>
      <c r="J7" s="48">
        <v>31</v>
      </c>
      <c r="K7" s="48">
        <v>30</v>
      </c>
      <c r="L7" s="48">
        <v>31</v>
      </c>
      <c r="M7" s="48">
        <v>30</v>
      </c>
      <c r="N7" s="15">
        <v>31</v>
      </c>
      <c r="O7" s="25"/>
    </row>
    <row r="8" spans="1:15" x14ac:dyDescent="0.25">
      <c r="A8" s="56" t="s">
        <v>52</v>
      </c>
      <c r="B8" s="58"/>
      <c r="C8" s="22">
        <v>8.6</v>
      </c>
      <c r="D8" s="14">
        <v>9.9</v>
      </c>
      <c r="E8" s="14">
        <v>11.6</v>
      </c>
      <c r="F8" s="14">
        <v>12.4</v>
      </c>
      <c r="G8" s="14">
        <v>15</v>
      </c>
      <c r="H8" s="14">
        <v>15.8</v>
      </c>
      <c r="I8" s="14">
        <v>15.5</v>
      </c>
      <c r="J8" s="14">
        <v>14.1</v>
      </c>
      <c r="K8" s="14">
        <v>12.3</v>
      </c>
      <c r="L8" s="14">
        <v>10.6</v>
      </c>
      <c r="M8" s="14">
        <v>8.9</v>
      </c>
      <c r="N8" s="15">
        <v>8.1999999999999993</v>
      </c>
      <c r="O8" s="25"/>
    </row>
    <row r="9" spans="1:15" x14ac:dyDescent="0.25">
      <c r="A9" s="56" t="s">
        <v>45</v>
      </c>
      <c r="B9" s="57"/>
      <c r="C9" s="22">
        <v>23</v>
      </c>
      <c r="D9" s="14">
        <v>40</v>
      </c>
      <c r="E9" s="14">
        <v>75</v>
      </c>
      <c r="F9" s="14">
        <v>117</v>
      </c>
      <c r="G9" s="14">
        <v>153</v>
      </c>
      <c r="H9" s="14">
        <v>159</v>
      </c>
      <c r="I9" s="14">
        <v>161</v>
      </c>
      <c r="J9" s="14">
        <v>137</v>
      </c>
      <c r="K9" s="14">
        <v>91</v>
      </c>
      <c r="L9" s="14">
        <v>56</v>
      </c>
      <c r="M9" s="14">
        <v>25</v>
      </c>
      <c r="N9" s="15">
        <v>17</v>
      </c>
      <c r="O9" s="39">
        <f t="shared" ref="O9" si="1">SUM(C9:N9)</f>
        <v>1054</v>
      </c>
    </row>
    <row r="10" spans="1:15" x14ac:dyDescent="0.25">
      <c r="A10" s="56" t="s">
        <v>48</v>
      </c>
      <c r="B10" s="57"/>
      <c r="C10" s="26">
        <f t="shared" ref="C10:N10" si="2">23.45*SIN(PI()/180*(360/365)*(284+C5))</f>
        <v>-21.183693564513856</v>
      </c>
      <c r="D10" s="27">
        <f t="shared" si="2"/>
        <v>-13.619766412491639</v>
      </c>
      <c r="E10" s="27">
        <f t="shared" si="2"/>
        <v>-2.6184037170037429</v>
      </c>
      <c r="F10" s="27">
        <f t="shared" si="2"/>
        <v>9.4148933468800529</v>
      </c>
      <c r="G10" s="27">
        <f t="shared" si="2"/>
        <v>18.91195474122614</v>
      </c>
      <c r="H10" s="27">
        <f t="shared" si="2"/>
        <v>23.31440991666317</v>
      </c>
      <c r="I10" s="27">
        <f t="shared" si="2"/>
        <v>21.436301322946075</v>
      </c>
      <c r="J10" s="27">
        <f t="shared" si="2"/>
        <v>13.619766412491641</v>
      </c>
      <c r="K10" s="27">
        <f t="shared" si="2"/>
        <v>2.2168867832133459</v>
      </c>
      <c r="L10" s="27">
        <f t="shared" si="2"/>
        <v>-9.7831899812588006</v>
      </c>
      <c r="M10" s="27">
        <f t="shared" si="2"/>
        <v>-19.147817306406708</v>
      </c>
      <c r="N10" s="28">
        <f t="shared" si="2"/>
        <v>-23.354300459651348</v>
      </c>
      <c r="O10" s="25"/>
    </row>
    <row r="11" spans="1:15" ht="15.75" thickBot="1" x14ac:dyDescent="0.3">
      <c r="A11" s="56" t="s">
        <v>50</v>
      </c>
      <c r="B11" s="57"/>
      <c r="C11" s="29">
        <f>90-$D$2+C10</f>
        <v>18.956306435486145</v>
      </c>
      <c r="D11" s="30">
        <f t="shared" ref="D11:N11" si="3">90-$D$2+D10</f>
        <v>26.520233587508361</v>
      </c>
      <c r="E11" s="30">
        <f t="shared" si="3"/>
        <v>37.521596282996256</v>
      </c>
      <c r="F11" s="30">
        <f t="shared" si="3"/>
        <v>49.55489334688005</v>
      </c>
      <c r="G11" s="30">
        <f t="shared" si="3"/>
        <v>59.05195474122614</v>
      </c>
      <c r="H11" s="30">
        <f t="shared" si="3"/>
        <v>63.454409916663167</v>
      </c>
      <c r="I11" s="30">
        <f t="shared" si="3"/>
        <v>61.57630132294608</v>
      </c>
      <c r="J11" s="30">
        <f t="shared" si="3"/>
        <v>53.759766412491643</v>
      </c>
      <c r="K11" s="30">
        <f t="shared" si="3"/>
        <v>42.356886783213348</v>
      </c>
      <c r="L11" s="30">
        <f t="shared" si="3"/>
        <v>30.3568100187412</v>
      </c>
      <c r="M11" s="30">
        <f t="shared" si="3"/>
        <v>20.992182693593293</v>
      </c>
      <c r="N11" s="31">
        <f t="shared" si="3"/>
        <v>16.785699540348652</v>
      </c>
      <c r="O11" s="25"/>
    </row>
    <row r="12" spans="1:15" x14ac:dyDescent="0.25">
      <c r="A12" s="49" t="s">
        <v>49</v>
      </c>
      <c r="B12" s="18">
        <v>20</v>
      </c>
      <c r="C12" s="32">
        <f t="shared" ref="C12:N23" si="4">C$9*SIN(PI()/180*(180-(C$11+$B12)))/SIN(PI()/180*C$11)</f>
        <v>44.515520813039785</v>
      </c>
      <c r="D12" s="33">
        <f t="shared" si="4"/>
        <v>65.002906770044092</v>
      </c>
      <c r="E12" s="33">
        <f t="shared" si="4"/>
        <v>103.88056896821723</v>
      </c>
      <c r="F12" s="33">
        <f t="shared" si="4"/>
        <v>144.05498365140238</v>
      </c>
      <c r="G12" s="33">
        <f t="shared" si="4"/>
        <v>175.15090824758937</v>
      </c>
      <c r="H12" s="33">
        <f t="shared" si="4"/>
        <v>176.57864310881402</v>
      </c>
      <c r="I12" s="33">
        <f t="shared" si="4"/>
        <v>181.09361916375892</v>
      </c>
      <c r="J12" s="33">
        <f t="shared" si="4"/>
        <v>163.08240715316759</v>
      </c>
      <c r="K12" s="33">
        <f t="shared" si="4"/>
        <v>119.64852499030737</v>
      </c>
      <c r="L12" s="33">
        <f t="shared" si="4"/>
        <v>85.32495774819337</v>
      </c>
      <c r="M12" s="33">
        <f t="shared" si="4"/>
        <v>45.776225938050814</v>
      </c>
      <c r="N12" s="34">
        <f t="shared" si="4"/>
        <v>35.250191659458608</v>
      </c>
      <c r="O12" s="35">
        <f>SUM(C12:N12)</f>
        <v>1339.3594582120436</v>
      </c>
    </row>
    <row r="13" spans="1:15" x14ac:dyDescent="0.25">
      <c r="A13" s="50"/>
      <c r="B13" s="14">
        <v>25</v>
      </c>
      <c r="C13" s="36">
        <f t="shared" si="4"/>
        <v>49.144736856296085</v>
      </c>
      <c r="D13" s="37">
        <f t="shared" si="4"/>
        <v>70.127991656046873</v>
      </c>
      <c r="E13" s="37">
        <f t="shared" si="4"/>
        <v>109.24837472022713</v>
      </c>
      <c r="F13" s="37">
        <f t="shared" si="4"/>
        <v>148.18730964656828</v>
      </c>
      <c r="G13" s="37">
        <f t="shared" si="4"/>
        <v>177.43733791644974</v>
      </c>
      <c r="H13" s="37">
        <f t="shared" si="4"/>
        <v>177.67256490632559</v>
      </c>
      <c r="I13" s="37">
        <f t="shared" si="4"/>
        <v>182.74185652695238</v>
      </c>
      <c r="J13" s="37">
        <f t="shared" si="4"/>
        <v>166.60207823161585</v>
      </c>
      <c r="K13" s="37">
        <f t="shared" si="4"/>
        <v>124.65487747781346</v>
      </c>
      <c r="L13" s="37">
        <f t="shared" si="4"/>
        <v>91.16177611528191</v>
      </c>
      <c r="M13" s="37">
        <f t="shared" si="4"/>
        <v>50.192878405851211</v>
      </c>
      <c r="N13" s="38">
        <f t="shared" si="4"/>
        <v>39.224961921796421</v>
      </c>
      <c r="O13" s="39">
        <f t="shared" ref="O13:O23" si="5">SUM(C13:N13)</f>
        <v>1386.3967443812248</v>
      </c>
    </row>
    <row r="14" spans="1:15" x14ac:dyDescent="0.25">
      <c r="A14" s="50"/>
      <c r="B14" s="14">
        <v>30</v>
      </c>
      <c r="C14" s="36">
        <f t="shared" si="4"/>
        <v>53.399931777672535</v>
      </c>
      <c r="D14" s="37">
        <f t="shared" si="4"/>
        <v>74.71936018110803</v>
      </c>
      <c r="E14" s="37">
        <f t="shared" si="4"/>
        <v>113.78473437464389</v>
      </c>
      <c r="F14" s="37">
        <f t="shared" si="4"/>
        <v>151.19184073737983</v>
      </c>
      <c r="G14" s="37">
        <f t="shared" si="4"/>
        <v>178.37336230417196</v>
      </c>
      <c r="H14" s="37">
        <f t="shared" si="4"/>
        <v>177.41429120327214</v>
      </c>
      <c r="I14" s="37">
        <f t="shared" si="4"/>
        <v>182.99931801942586</v>
      </c>
      <c r="J14" s="37">
        <f t="shared" si="4"/>
        <v>168.85380689763622</v>
      </c>
      <c r="K14" s="37">
        <f t="shared" si="4"/>
        <v>128.71253107904047</v>
      </c>
      <c r="L14" s="37">
        <f t="shared" si="4"/>
        <v>96.304798321147743</v>
      </c>
      <c r="M14" s="37">
        <f t="shared" si="4"/>
        <v>54.227532761694476</v>
      </c>
      <c r="N14" s="38">
        <f t="shared" si="4"/>
        <v>42.901206539229783</v>
      </c>
      <c r="O14" s="39">
        <f t="shared" si="5"/>
        <v>1422.8827141964227</v>
      </c>
    </row>
    <row r="15" spans="1:15" x14ac:dyDescent="0.25">
      <c r="A15" s="50"/>
      <c r="B15" s="14">
        <v>35</v>
      </c>
      <c r="C15" s="36">
        <f t="shared" si="4"/>
        <v>57.248720974460497</v>
      </c>
      <c r="D15" s="37">
        <f t="shared" si="4"/>
        <v>78.742069258407739</v>
      </c>
      <c r="E15" s="37">
        <f t="shared" si="4"/>
        <v>117.45512349536851</v>
      </c>
      <c r="F15" s="37">
        <f t="shared" si="4"/>
        <v>153.04571062805047</v>
      </c>
      <c r="G15" s="37">
        <f t="shared" si="4"/>
        <v>177.95185769997858</v>
      </c>
      <c r="H15" s="37">
        <f t="shared" si="4"/>
        <v>175.80578761848383</v>
      </c>
      <c r="I15" s="37">
        <f t="shared" si="4"/>
        <v>181.86404420376221</v>
      </c>
      <c r="J15" s="37">
        <f t="shared" si="4"/>
        <v>169.82045613644942</v>
      </c>
      <c r="K15" s="37">
        <f t="shared" si="4"/>
        <v>131.79060460000483</v>
      </c>
      <c r="L15" s="37">
        <f t="shared" si="4"/>
        <v>100.71488286136254</v>
      </c>
      <c r="M15" s="37">
        <f t="shared" si="4"/>
        <v>57.849482849741719</v>
      </c>
      <c r="N15" s="38">
        <f t="shared" si="4"/>
        <v>46.250947070442848</v>
      </c>
      <c r="O15" s="39">
        <f t="shared" si="5"/>
        <v>1448.5396873965133</v>
      </c>
    </row>
    <row r="16" spans="1:15" x14ac:dyDescent="0.25">
      <c r="A16" s="50"/>
      <c r="B16" s="14">
        <v>40</v>
      </c>
      <c r="C16" s="36">
        <f t="shared" si="4"/>
        <v>60.661812836910009</v>
      </c>
      <c r="D16" s="37">
        <f t="shared" si="4"/>
        <v>82.165503642889604</v>
      </c>
      <c r="E16" s="37">
        <f t="shared" si="4"/>
        <v>120.23160820495073</v>
      </c>
      <c r="F16" s="37">
        <f t="shared" si="4"/>
        <v>153.73481024931496</v>
      </c>
      <c r="G16" s="37">
        <f t="shared" si="4"/>
        <v>176.17603200841884</v>
      </c>
      <c r="H16" s="37">
        <f t="shared" si="4"/>
        <v>172.85929583548199</v>
      </c>
      <c r="I16" s="37">
        <f t="shared" si="4"/>
        <v>179.34467519919562</v>
      </c>
      <c r="J16" s="37">
        <f t="shared" si="4"/>
        <v>169.49466916366924</v>
      </c>
      <c r="K16" s="37">
        <f t="shared" si="4"/>
        <v>133.86567204262033</v>
      </c>
      <c r="L16" s="37">
        <f t="shared" si="4"/>
        <v>104.35846632969341</v>
      </c>
      <c r="M16" s="37">
        <f t="shared" si="4"/>
        <v>61.031163442829666</v>
      </c>
      <c r="N16" s="38">
        <f t="shared" si="4"/>
        <v>49.248689967364463</v>
      </c>
      <c r="O16" s="39">
        <f t="shared" si="5"/>
        <v>1463.172398923339</v>
      </c>
    </row>
    <row r="17" spans="1:15" x14ac:dyDescent="0.25">
      <c r="A17" s="50"/>
      <c r="B17" s="14">
        <v>45</v>
      </c>
      <c r="C17" s="36">
        <f t="shared" si="4"/>
        <v>63.613231675066572</v>
      </c>
      <c r="D17" s="37">
        <f t="shared" si="4"/>
        <v>84.963608931761499</v>
      </c>
      <c r="E17" s="37">
        <f t="shared" si="4"/>
        <v>122.09305777826337</v>
      </c>
      <c r="F17" s="37">
        <f t="shared" si="4"/>
        <v>153.25389513696572</v>
      </c>
      <c r="G17" s="37">
        <f t="shared" si="4"/>
        <v>173.05940033527844</v>
      </c>
      <c r="H17" s="37">
        <f t="shared" si="4"/>
        <v>168.59724043587553</v>
      </c>
      <c r="I17" s="37">
        <f t="shared" si="4"/>
        <v>175.46038492508748</v>
      </c>
      <c r="J17" s="37">
        <f t="shared" si="4"/>
        <v>167.87892541487412</v>
      </c>
      <c r="K17" s="37">
        <f t="shared" si="4"/>
        <v>134.92194089068875</v>
      </c>
      <c r="L17" s="37">
        <f t="shared" si="4"/>
        <v>107.20781885589049</v>
      </c>
      <c r="M17" s="37">
        <f t="shared" si="4"/>
        <v>63.748360030493629</v>
      </c>
      <c r="N17" s="38">
        <f t="shared" si="4"/>
        <v>51.871620596462371</v>
      </c>
      <c r="O17" s="39">
        <f t="shared" si="5"/>
        <v>1466.6694850067081</v>
      </c>
    </row>
    <row r="18" spans="1:15" x14ac:dyDescent="0.25">
      <c r="A18" s="50"/>
      <c r="B18" s="14">
        <v>50</v>
      </c>
      <c r="C18" s="36">
        <f t="shared" si="4"/>
        <v>66.080515409456396</v>
      </c>
      <c r="D18" s="37">
        <f t="shared" si="4"/>
        <v>87.115089854232977</v>
      </c>
      <c r="E18" s="37">
        <f t="shared" si="4"/>
        <v>123.02530546007951</v>
      </c>
      <c r="F18" s="37">
        <f t="shared" si="4"/>
        <v>151.60662534539225</v>
      </c>
      <c r="G18" s="37">
        <f t="shared" si="4"/>
        <v>168.6256821294636</v>
      </c>
      <c r="H18" s="37">
        <f t="shared" si="4"/>
        <v>163.05205823475492</v>
      </c>
      <c r="I18" s="37">
        <f t="shared" si="4"/>
        <v>170.24073517582235</v>
      </c>
      <c r="J18" s="37">
        <f t="shared" si="4"/>
        <v>164.98552167560516</v>
      </c>
      <c r="K18" s="37">
        <f t="shared" si="4"/>
        <v>134.95137230048368</v>
      </c>
      <c r="L18" s="37">
        <f t="shared" si="4"/>
        <v>109.24125514674333</v>
      </c>
      <c r="M18" s="37">
        <f t="shared" si="4"/>
        <v>65.980393106013324</v>
      </c>
      <c r="N18" s="38">
        <f t="shared" si="4"/>
        <v>54.099776871880337</v>
      </c>
      <c r="O18" s="39">
        <f t="shared" si="5"/>
        <v>1459.0043307099277</v>
      </c>
    </row>
    <row r="19" spans="1:15" x14ac:dyDescent="0.25">
      <c r="A19" s="50"/>
      <c r="B19" s="14">
        <v>55</v>
      </c>
      <c r="C19" s="36">
        <f t="shared" si="4"/>
        <v>68.044886521074133</v>
      </c>
      <c r="D19" s="37">
        <f t="shared" si="4"/>
        <v>88.603572341384307</v>
      </c>
      <c r="E19" s="37">
        <f t="shared" si="4"/>
        <v>123.02125628263398</v>
      </c>
      <c r="F19" s="37">
        <f t="shared" si="4"/>
        <v>148.80553759235704</v>
      </c>
      <c r="G19" s="37">
        <f t="shared" si="4"/>
        <v>162.90862066367291</v>
      </c>
      <c r="H19" s="37">
        <f t="shared" si="4"/>
        <v>156.26595141694332</v>
      </c>
      <c r="I19" s="37">
        <f t="shared" si="4"/>
        <v>163.72545063770286</v>
      </c>
      <c r="J19" s="37">
        <f t="shared" si="4"/>
        <v>160.83647849540313</v>
      </c>
      <c r="K19" s="37">
        <f t="shared" si="4"/>
        <v>133.95374228120548</v>
      </c>
      <c r="L19" s="37">
        <f t="shared" si="4"/>
        <v>110.44329952425615</v>
      </c>
      <c r="M19" s="37">
        <f t="shared" si="4"/>
        <v>67.710275549945635</v>
      </c>
      <c r="N19" s="38">
        <f t="shared" si="4"/>
        <v>55.916201178964904</v>
      </c>
      <c r="O19" s="39">
        <f t="shared" si="5"/>
        <v>1440.2352724855439</v>
      </c>
    </row>
    <row r="20" spans="1:15" x14ac:dyDescent="0.25">
      <c r="A20" s="50"/>
      <c r="B20" s="14">
        <v>60</v>
      </c>
      <c r="C20" s="36">
        <f t="shared" si="4"/>
        <v>69.491394959640672</v>
      </c>
      <c r="D20" s="37">
        <f t="shared" si="4"/>
        <v>89.417728142717962</v>
      </c>
      <c r="E20" s="37">
        <f t="shared" si="4"/>
        <v>122.08094106261213</v>
      </c>
      <c r="F20" s="37">
        <f t="shared" si="4"/>
        <v>144.87194984700383</v>
      </c>
      <c r="G20" s="37">
        <f t="shared" si="4"/>
        <v>155.95172622771699</v>
      </c>
      <c r="H20" s="37">
        <f t="shared" si="4"/>
        <v>148.29056635288748</v>
      </c>
      <c r="I20" s="37">
        <f t="shared" si="4"/>
        <v>155.96411656010034</v>
      </c>
      <c r="J20" s="37">
        <f t="shared" si="4"/>
        <v>155.46337259813009</v>
      </c>
      <c r="K20" s="37">
        <f t="shared" si="4"/>
        <v>131.93664339968626</v>
      </c>
      <c r="L20" s="37">
        <f t="shared" si="4"/>
        <v>110.80480370490181</v>
      </c>
      <c r="M20" s="37">
        <f t="shared" si="4"/>
        <v>68.924841912360677</v>
      </c>
      <c r="N20" s="38">
        <f t="shared" si="4"/>
        <v>57.307069431952151</v>
      </c>
      <c r="O20" s="39">
        <f t="shared" si="5"/>
        <v>1410.5051541997107</v>
      </c>
    </row>
    <row r="21" spans="1:15" x14ac:dyDescent="0.25">
      <c r="A21" s="50"/>
      <c r="B21" s="14">
        <v>65</v>
      </c>
      <c r="C21" s="36">
        <f t="shared" si="4"/>
        <v>70.409031922512838</v>
      </c>
      <c r="D21" s="37">
        <f t="shared" si="4"/>
        <v>89.551361040985086</v>
      </c>
      <c r="E21" s="37">
        <f t="shared" si="4"/>
        <v>120.21151616661615</v>
      </c>
      <c r="F21" s="37">
        <f t="shared" si="4"/>
        <v>139.83579908723993</v>
      </c>
      <c r="G21" s="37">
        <f t="shared" si="4"/>
        <v>147.80794498894127</v>
      </c>
      <c r="H21" s="37">
        <f t="shared" si="4"/>
        <v>139.18660053859404</v>
      </c>
      <c r="I21" s="37">
        <f t="shared" si="4"/>
        <v>147.01580138176715</v>
      </c>
      <c r="J21" s="37">
        <f t="shared" si="4"/>
        <v>148.90709656403439</v>
      </c>
      <c r="K21" s="37">
        <f t="shared" si="4"/>
        <v>128.91542699637202</v>
      </c>
      <c r="L21" s="37">
        <f t="shared" si="4"/>
        <v>110.32301642358343</v>
      </c>
      <c r="M21" s="37">
        <f t="shared" si="4"/>
        <v>69.614848609865206</v>
      </c>
      <c r="N21" s="38">
        <f t="shared" si="4"/>
        <v>58.261796283607637</v>
      </c>
      <c r="O21" s="39">
        <f t="shared" si="5"/>
        <v>1370.0402400041191</v>
      </c>
    </row>
    <row r="22" spans="1:15" x14ac:dyDescent="0.25">
      <c r="A22" s="50"/>
      <c r="B22" s="14">
        <v>70</v>
      </c>
      <c r="C22" s="36">
        <f t="shared" si="4"/>
        <v>70.790813638318824</v>
      </c>
      <c r="D22" s="37">
        <f t="shared" si="4"/>
        <v>89.003454009140142</v>
      </c>
      <c r="E22" s="37">
        <f t="shared" si="4"/>
        <v>117.42720904689419</v>
      </c>
      <c r="F22" s="37">
        <f t="shared" si="4"/>
        <v>133.73541346125808</v>
      </c>
      <c r="G22" s="37">
        <f t="shared" si="4"/>
        <v>138.53925603992238</v>
      </c>
      <c r="H22" s="37">
        <f t="shared" si="4"/>
        <v>129.02334065103472</v>
      </c>
      <c r="I22" s="37">
        <f t="shared" si="4"/>
        <v>136.94860718435069</v>
      </c>
      <c r="J22" s="37">
        <f t="shared" si="4"/>
        <v>141.21754761252319</v>
      </c>
      <c r="K22" s="37">
        <f t="shared" si="4"/>
        <v>124.91308635235227</v>
      </c>
      <c r="L22" s="37">
        <f t="shared" si="4"/>
        <v>109.00160437242295</v>
      </c>
      <c r="M22" s="37">
        <f t="shared" si="4"/>
        <v>69.775044274853812</v>
      </c>
      <c r="N22" s="38">
        <f t="shared" si="4"/>
        <v>58.773115686110444</v>
      </c>
      <c r="O22" s="39">
        <f t="shared" si="5"/>
        <v>1319.1484923291816</v>
      </c>
    </row>
    <row r="23" spans="1:15" ht="15.75" thickBot="1" x14ac:dyDescent="0.3">
      <c r="A23" s="51"/>
      <c r="B23" s="16">
        <v>75</v>
      </c>
      <c r="C23" s="40">
        <f t="shared" si="4"/>
        <v>70.633834517675254</v>
      </c>
      <c r="D23" s="41">
        <f t="shared" si="4"/>
        <v>87.778176950530749</v>
      </c>
      <c r="E23" s="41">
        <f t="shared" si="4"/>
        <v>113.74920996183795</v>
      </c>
      <c r="F23" s="41">
        <f t="shared" si="4"/>
        <v>126.61722058718556</v>
      </c>
      <c r="G23" s="41">
        <f t="shared" si="4"/>
        <v>128.21619970014973</v>
      </c>
      <c r="H23" s="41">
        <f t="shared" si="4"/>
        <v>117.87813523469789</v>
      </c>
      <c r="I23" s="41">
        <f t="shared" si="4"/>
        <v>125.8391513944315</v>
      </c>
      <c r="J23" s="41">
        <f t="shared" si="4"/>
        <v>132.4532478541941</v>
      </c>
      <c r="K23" s="41">
        <f t="shared" si="4"/>
        <v>119.96008169660743</v>
      </c>
      <c r="L23" s="41">
        <f t="shared" si="4"/>
        <v>106.8506242950201</v>
      </c>
      <c r="M23" s="41">
        <f t="shared" si="4"/>
        <v>69.404209721587137</v>
      </c>
      <c r="N23" s="42">
        <f t="shared" si="4"/>
        <v>58.837136190064406</v>
      </c>
      <c r="O23" s="43">
        <f t="shared" si="5"/>
        <v>1258.2172281039818</v>
      </c>
    </row>
    <row r="27" spans="1:15" ht="15.75" thickBot="1" x14ac:dyDescent="0.3">
      <c r="A27" s="52" t="s">
        <v>64</v>
      </c>
      <c r="B27" s="52"/>
    </row>
    <row r="28" spans="1:15" ht="15.75" thickBot="1" x14ac:dyDescent="0.3">
      <c r="A28" s="49" t="s">
        <v>49</v>
      </c>
      <c r="B28" s="18">
        <v>20</v>
      </c>
      <c r="C28" s="32">
        <f>C12/(C$7*C$8)*1000</f>
        <v>166.97494678559559</v>
      </c>
      <c r="D28" s="32">
        <f t="shared" ref="D28:N28" si="6">D12/(D$7*D$8)*1000</f>
        <v>234.49822067115474</v>
      </c>
      <c r="E28" s="32">
        <f t="shared" si="6"/>
        <v>288.87811170249512</v>
      </c>
      <c r="F28" s="32">
        <f t="shared" si="6"/>
        <v>387.24457970807089</v>
      </c>
      <c r="G28" s="32">
        <f t="shared" si="6"/>
        <v>376.66861988728897</v>
      </c>
      <c r="H28" s="32">
        <f t="shared" si="6"/>
        <v>372.52878292998736</v>
      </c>
      <c r="I28" s="32">
        <f t="shared" si="6"/>
        <v>376.8857838996023</v>
      </c>
      <c r="J28" s="32">
        <f t="shared" si="6"/>
        <v>373.10090860939744</v>
      </c>
      <c r="K28" s="32">
        <f t="shared" si="6"/>
        <v>324.25074523118525</v>
      </c>
      <c r="L28" s="32">
        <f t="shared" si="6"/>
        <v>259.66207470539678</v>
      </c>
      <c r="M28" s="32">
        <f t="shared" si="6"/>
        <v>171.44653909382328</v>
      </c>
      <c r="N28" s="32">
        <f t="shared" si="6"/>
        <v>138.671092287406</v>
      </c>
      <c r="O28" s="35">
        <f>SUM(C28:N28)</f>
        <v>3470.8104055114031</v>
      </c>
    </row>
    <row r="29" spans="1:15" ht="15.75" thickBot="1" x14ac:dyDescent="0.3">
      <c r="A29" s="50"/>
      <c r="B29" s="14">
        <v>25</v>
      </c>
      <c r="C29" s="32">
        <f>C13/(C$7*C$8)*1000</f>
        <v>184.33884792309109</v>
      </c>
      <c r="D29" s="32">
        <f t="shared" ref="C29:N29" si="7">D13/(D$7*D$8)*1000</f>
        <v>252.986982886172</v>
      </c>
      <c r="E29" s="32">
        <f t="shared" si="7"/>
        <v>303.8052689661489</v>
      </c>
      <c r="F29" s="32">
        <f t="shared" si="7"/>
        <v>398.35298292088243</v>
      </c>
      <c r="G29" s="32">
        <f t="shared" si="7"/>
        <v>381.58567293860159</v>
      </c>
      <c r="H29" s="32">
        <f t="shared" si="7"/>
        <v>374.83663482347168</v>
      </c>
      <c r="I29" s="32">
        <f t="shared" si="7"/>
        <v>380.3160385576532</v>
      </c>
      <c r="J29" s="32">
        <f t="shared" si="7"/>
        <v>381.15323319976176</v>
      </c>
      <c r="K29" s="32">
        <f t="shared" si="7"/>
        <v>337.81809614583591</v>
      </c>
      <c r="L29" s="32">
        <f t="shared" si="7"/>
        <v>277.42475993695047</v>
      </c>
      <c r="M29" s="32">
        <f t="shared" si="7"/>
        <v>187.98830863614685</v>
      </c>
      <c r="N29" s="32">
        <f t="shared" si="7"/>
        <v>154.30748198975778</v>
      </c>
      <c r="O29" s="39">
        <f t="shared" ref="O29:O39" si="8">SUM(C29:N29)</f>
        <v>3614.9143089244744</v>
      </c>
    </row>
    <row r="30" spans="1:15" ht="15.75" thickBot="1" x14ac:dyDescent="0.3">
      <c r="A30" s="50"/>
      <c r="B30" s="14">
        <v>30</v>
      </c>
      <c r="C30" s="32">
        <f t="shared" ref="C30:N30" si="9">C14/(C$7*C$8)*1000</f>
        <v>200.29981912105231</v>
      </c>
      <c r="D30" s="32">
        <f t="shared" si="9"/>
        <v>269.55036140370862</v>
      </c>
      <c r="E30" s="32">
        <f t="shared" si="9"/>
        <v>316.42028469033346</v>
      </c>
      <c r="F30" s="32">
        <f t="shared" si="9"/>
        <v>406.4296794015587</v>
      </c>
      <c r="G30" s="32">
        <f t="shared" si="9"/>
        <v>383.59862861112248</v>
      </c>
      <c r="H30" s="32">
        <f t="shared" si="9"/>
        <v>374.29175359340115</v>
      </c>
      <c r="I30" s="32">
        <f t="shared" si="9"/>
        <v>380.85185852117763</v>
      </c>
      <c r="J30" s="32">
        <f t="shared" si="9"/>
        <v>386.30475153886118</v>
      </c>
      <c r="K30" s="32">
        <f t="shared" si="9"/>
        <v>348.81444736867337</v>
      </c>
      <c r="L30" s="32">
        <f t="shared" si="9"/>
        <v>293.07607523173391</v>
      </c>
      <c r="M30" s="32">
        <f t="shared" si="9"/>
        <v>203.09937363930516</v>
      </c>
      <c r="N30" s="32">
        <f t="shared" si="9"/>
        <v>168.76949858076233</v>
      </c>
      <c r="O30" s="39">
        <f t="shared" si="8"/>
        <v>3731.5065317016906</v>
      </c>
    </row>
    <row r="31" spans="1:15" ht="15.75" thickBot="1" x14ac:dyDescent="0.3">
      <c r="A31" s="50"/>
      <c r="B31" s="14">
        <v>35</v>
      </c>
      <c r="C31" s="32">
        <f t="shared" ref="C31:N31" si="10">C15/(C$7*C$8)*1000</f>
        <v>214.7363877511647</v>
      </c>
      <c r="D31" s="32">
        <f t="shared" si="10"/>
        <v>284.06229891200485</v>
      </c>
      <c r="E31" s="32">
        <f t="shared" si="10"/>
        <v>326.62715098823281</v>
      </c>
      <c r="F31" s="32">
        <f t="shared" si="10"/>
        <v>411.4132006130389</v>
      </c>
      <c r="G31" s="32">
        <f t="shared" si="10"/>
        <v>382.6921670967281</v>
      </c>
      <c r="H31" s="32">
        <f t="shared" si="10"/>
        <v>370.89828611494482</v>
      </c>
      <c r="I31" s="32">
        <f t="shared" si="10"/>
        <v>378.4891658767163</v>
      </c>
      <c r="J31" s="32">
        <f t="shared" si="10"/>
        <v>388.51625746156355</v>
      </c>
      <c r="K31" s="32">
        <f t="shared" si="10"/>
        <v>357.15611002711336</v>
      </c>
      <c r="L31" s="32">
        <f t="shared" si="10"/>
        <v>306.49690462983125</v>
      </c>
      <c r="M31" s="32">
        <f t="shared" si="10"/>
        <v>216.66472977431357</v>
      </c>
      <c r="N31" s="32">
        <f t="shared" si="10"/>
        <v>181.94707738175785</v>
      </c>
      <c r="O31" s="39">
        <f t="shared" si="8"/>
        <v>3819.6997366274095</v>
      </c>
    </row>
    <row r="32" spans="1:15" ht="15.75" thickBot="1" x14ac:dyDescent="0.3">
      <c r="A32" s="50"/>
      <c r="B32" s="14">
        <v>40</v>
      </c>
      <c r="C32" s="32">
        <f t="shared" ref="C32:N32" si="11">C16/(C$7*C$8)*1000</f>
        <v>227.53868280911485</v>
      </c>
      <c r="D32" s="32">
        <f t="shared" si="11"/>
        <v>296.41235080407506</v>
      </c>
      <c r="E32" s="32">
        <f t="shared" si="11"/>
        <v>334.34818744424564</v>
      </c>
      <c r="F32" s="32">
        <f t="shared" si="11"/>
        <v>413.26561894977135</v>
      </c>
      <c r="G32" s="32">
        <f t="shared" si="11"/>
        <v>378.87318711487922</v>
      </c>
      <c r="H32" s="32">
        <f t="shared" si="11"/>
        <v>364.68205872464551</v>
      </c>
      <c r="I32" s="32">
        <f t="shared" si="11"/>
        <v>373.24594214192638</v>
      </c>
      <c r="J32" s="32">
        <f t="shared" si="11"/>
        <v>387.77092007245312</v>
      </c>
      <c r="K32" s="32">
        <f t="shared" si="11"/>
        <v>362.77959903149144</v>
      </c>
      <c r="L32" s="32">
        <f t="shared" si="11"/>
        <v>317.58510751580474</v>
      </c>
      <c r="M32" s="32">
        <f t="shared" si="11"/>
        <v>228.58113648999876</v>
      </c>
      <c r="N32" s="32">
        <f t="shared" si="11"/>
        <v>193.73992906122922</v>
      </c>
      <c r="O32" s="39">
        <f t="shared" si="8"/>
        <v>3878.8227201596355</v>
      </c>
    </row>
    <row r="33" spans="1:15" ht="15.75" thickBot="1" x14ac:dyDescent="0.3">
      <c r="A33" s="50"/>
      <c r="B33" s="14">
        <v>45</v>
      </c>
      <c r="C33" s="32">
        <f t="shared" ref="C33:N33" si="12">C17/(C$7*C$8)*1000</f>
        <v>238.60927109927448</v>
      </c>
      <c r="D33" s="32">
        <f t="shared" si="12"/>
        <v>306.50652572785538</v>
      </c>
      <c r="E33" s="32">
        <f t="shared" si="12"/>
        <v>339.52463230885257</v>
      </c>
      <c r="F33" s="32">
        <f t="shared" si="12"/>
        <v>411.97283638969276</v>
      </c>
      <c r="G33" s="32">
        <f t="shared" si="12"/>
        <v>372.17075340920098</v>
      </c>
      <c r="H33" s="32">
        <f t="shared" si="12"/>
        <v>355.69038066640405</v>
      </c>
      <c r="I33" s="32">
        <f t="shared" si="12"/>
        <v>365.16209141537456</v>
      </c>
      <c r="J33" s="32">
        <f t="shared" si="12"/>
        <v>384.07441183910805</v>
      </c>
      <c r="K33" s="32">
        <f t="shared" si="12"/>
        <v>365.64211623492889</v>
      </c>
      <c r="L33" s="32">
        <f t="shared" si="12"/>
        <v>326.2562959704519</v>
      </c>
      <c r="M33" s="32">
        <f t="shared" si="12"/>
        <v>238.7579027359312</v>
      </c>
      <c r="N33" s="32">
        <f t="shared" si="12"/>
        <v>204.0583028971769</v>
      </c>
      <c r="O33" s="39">
        <f t="shared" si="8"/>
        <v>3908.4255206942516</v>
      </c>
    </row>
    <row r="34" spans="1:15" ht="15.75" thickBot="1" x14ac:dyDescent="0.3">
      <c r="A34" s="50"/>
      <c r="B34" s="14">
        <v>50</v>
      </c>
      <c r="C34" s="32">
        <f t="shared" ref="C34:N34" si="13">C18/(C$7*C$8)*1000</f>
        <v>247.86389876015156</v>
      </c>
      <c r="D34" s="32">
        <f t="shared" si="13"/>
        <v>314.26800091714642</v>
      </c>
      <c r="E34" s="32">
        <f t="shared" si="13"/>
        <v>342.11708971101092</v>
      </c>
      <c r="F34" s="32">
        <f t="shared" si="13"/>
        <v>407.54469178868885</v>
      </c>
      <c r="G34" s="32">
        <f t="shared" si="13"/>
        <v>362.63587554723352</v>
      </c>
      <c r="H34" s="32">
        <f t="shared" si="13"/>
        <v>343.99168403956736</v>
      </c>
      <c r="I34" s="32">
        <f t="shared" si="13"/>
        <v>354.29913668225254</v>
      </c>
      <c r="J34" s="32">
        <f t="shared" si="13"/>
        <v>377.45486542119687</v>
      </c>
      <c r="K34" s="32">
        <f t="shared" si="13"/>
        <v>365.72187615307234</v>
      </c>
      <c r="L34" s="32">
        <f t="shared" si="13"/>
        <v>332.44447701382637</v>
      </c>
      <c r="M34" s="32">
        <f t="shared" si="13"/>
        <v>247.11757717607989</v>
      </c>
      <c r="N34" s="32">
        <f t="shared" si="13"/>
        <v>212.82366983430504</v>
      </c>
      <c r="O34" s="39">
        <f t="shared" si="8"/>
        <v>3908.2828430445311</v>
      </c>
    </row>
    <row r="35" spans="1:15" ht="15.75" thickBot="1" x14ac:dyDescent="0.3">
      <c r="A35" s="50"/>
      <c r="B35" s="14">
        <v>55</v>
      </c>
      <c r="C35" s="32">
        <f t="shared" ref="C35:N35" si="14">C19/(C$7*C$8)*1000</f>
        <v>255.23213248714981</v>
      </c>
      <c r="D35" s="32">
        <f t="shared" si="14"/>
        <v>319.63770685925073</v>
      </c>
      <c r="E35" s="32">
        <f t="shared" si="14"/>
        <v>342.10582948452168</v>
      </c>
      <c r="F35" s="32">
        <f t="shared" si="14"/>
        <v>400.01488600095979</v>
      </c>
      <c r="G35" s="32">
        <f t="shared" si="14"/>
        <v>350.34111970682346</v>
      </c>
      <c r="H35" s="32">
        <f t="shared" si="14"/>
        <v>329.67500298933192</v>
      </c>
      <c r="I35" s="32">
        <f t="shared" si="14"/>
        <v>340.73975158731082</v>
      </c>
      <c r="J35" s="32">
        <f t="shared" si="14"/>
        <v>367.96265956395138</v>
      </c>
      <c r="K35" s="32">
        <f t="shared" si="14"/>
        <v>363.01827176478452</v>
      </c>
      <c r="L35" s="32">
        <f t="shared" si="14"/>
        <v>336.10255485166209</v>
      </c>
      <c r="M35" s="32">
        <f t="shared" si="14"/>
        <v>253.5965376402458</v>
      </c>
      <c r="N35" s="32">
        <f t="shared" si="14"/>
        <v>219.96932013754881</v>
      </c>
      <c r="O35" s="39">
        <f t="shared" si="8"/>
        <v>3878.3957730735415</v>
      </c>
    </row>
    <row r="36" spans="1:15" ht="15.75" thickBot="1" x14ac:dyDescent="0.3">
      <c r="A36" s="50"/>
      <c r="B36" s="14">
        <v>60</v>
      </c>
      <c r="C36" s="32">
        <f t="shared" ref="C36:N36" si="15">C20/(C$7*C$8)*1000</f>
        <v>260.65789557254573</v>
      </c>
      <c r="D36" s="32">
        <f t="shared" si="15"/>
        <v>322.57477684963192</v>
      </c>
      <c r="E36" s="32">
        <f t="shared" si="15"/>
        <v>339.49093732650761</v>
      </c>
      <c r="F36" s="32">
        <f t="shared" si="15"/>
        <v>389.44072539517163</v>
      </c>
      <c r="G36" s="32">
        <f t="shared" si="15"/>
        <v>335.38005640369244</v>
      </c>
      <c r="H36" s="32">
        <f t="shared" si="15"/>
        <v>312.84929610313816</v>
      </c>
      <c r="I36" s="32">
        <f t="shared" si="15"/>
        <v>324.58713123850225</v>
      </c>
      <c r="J36" s="32">
        <f t="shared" si="15"/>
        <v>355.67003568549552</v>
      </c>
      <c r="K36" s="32">
        <f t="shared" si="15"/>
        <v>357.55187913194106</v>
      </c>
      <c r="L36" s="32">
        <f t="shared" si="15"/>
        <v>337.20268930280531</v>
      </c>
      <c r="M36" s="32">
        <f t="shared" si="15"/>
        <v>258.14547532719354</v>
      </c>
      <c r="N36" s="32">
        <f t="shared" si="15"/>
        <v>225.44087109343883</v>
      </c>
      <c r="O36" s="39">
        <f t="shared" si="8"/>
        <v>3818.9917694300643</v>
      </c>
    </row>
    <row r="37" spans="1:15" ht="15.75" thickBot="1" x14ac:dyDescent="0.3">
      <c r="A37" s="50"/>
      <c r="B37" s="14">
        <v>65</v>
      </c>
      <c r="C37" s="32">
        <f t="shared" ref="C37:N37" si="16">C21/(C$7*C$8)*1000</f>
        <v>264.09989468309396</v>
      </c>
      <c r="D37" s="32">
        <f t="shared" si="16"/>
        <v>323.05685801221171</v>
      </c>
      <c r="E37" s="32">
        <f t="shared" si="16"/>
        <v>334.29231414520621</v>
      </c>
      <c r="F37" s="32">
        <f t="shared" si="16"/>
        <v>375.90268571838692</v>
      </c>
      <c r="G37" s="32">
        <f t="shared" si="16"/>
        <v>317.86654836331456</v>
      </c>
      <c r="H37" s="32">
        <f t="shared" si="16"/>
        <v>293.64261717002961</v>
      </c>
      <c r="I37" s="32">
        <f t="shared" si="16"/>
        <v>305.96420682990038</v>
      </c>
      <c r="J37" s="32">
        <f t="shared" si="16"/>
        <v>340.67054807603387</v>
      </c>
      <c r="K37" s="32">
        <f t="shared" si="16"/>
        <v>349.36430080317621</v>
      </c>
      <c r="L37" s="32">
        <f t="shared" si="16"/>
        <v>335.73650767980348</v>
      </c>
      <c r="M37" s="32">
        <f t="shared" si="16"/>
        <v>260.72977007440153</v>
      </c>
      <c r="N37" s="32">
        <f t="shared" si="16"/>
        <v>229.19668089538803</v>
      </c>
      <c r="O37" s="39">
        <f t="shared" si="8"/>
        <v>3730.5229324509464</v>
      </c>
    </row>
    <row r="38" spans="1:15" ht="15.75" thickBot="1" x14ac:dyDescent="0.3">
      <c r="A38" s="50"/>
      <c r="B38" s="14">
        <v>70</v>
      </c>
      <c r="C38" s="32">
        <f t="shared" ref="C38:N38" si="17">C22/(C$7*C$8)*1000</f>
        <v>265.53193412722743</v>
      </c>
      <c r="D38" s="32">
        <f t="shared" si="17"/>
        <v>321.08028141825451</v>
      </c>
      <c r="E38" s="32">
        <f t="shared" si="17"/>
        <v>326.54952460204174</v>
      </c>
      <c r="F38" s="32">
        <f t="shared" si="17"/>
        <v>359.50379962703784</v>
      </c>
      <c r="G38" s="32">
        <f t="shared" si="17"/>
        <v>297.93388395682229</v>
      </c>
      <c r="H38" s="32">
        <f t="shared" si="17"/>
        <v>272.20114061399732</v>
      </c>
      <c r="I38" s="32">
        <f t="shared" si="17"/>
        <v>285.01271006108362</v>
      </c>
      <c r="J38" s="32">
        <f t="shared" si="17"/>
        <v>323.07835189321253</v>
      </c>
      <c r="K38" s="32">
        <f t="shared" si="17"/>
        <v>338.5178491933666</v>
      </c>
      <c r="L38" s="32">
        <f t="shared" si="17"/>
        <v>331.71516851011245</v>
      </c>
      <c r="M38" s="32">
        <f t="shared" si="17"/>
        <v>261.3297538384038</v>
      </c>
      <c r="N38" s="32">
        <f t="shared" si="17"/>
        <v>231.20816556298365</v>
      </c>
      <c r="O38" s="39">
        <f t="shared" si="8"/>
        <v>3613.662563404544</v>
      </c>
    </row>
    <row r="39" spans="1:15" ht="15.75" thickBot="1" x14ac:dyDescent="0.3">
      <c r="A39" s="51"/>
      <c r="B39" s="16">
        <v>75</v>
      </c>
      <c r="C39" s="32">
        <f t="shared" ref="C39:N39" si="18">C23/(C$7*C$8)*1000</f>
        <v>264.94311522008724</v>
      </c>
      <c r="D39" s="32">
        <f t="shared" si="18"/>
        <v>316.6600900091297</v>
      </c>
      <c r="E39" s="32">
        <f t="shared" si="18"/>
        <v>316.32149600066174</v>
      </c>
      <c r="F39" s="32">
        <f t="shared" si="18"/>
        <v>340.36887254619774</v>
      </c>
      <c r="G39" s="32">
        <f t="shared" si="18"/>
        <v>275.73376279602093</v>
      </c>
      <c r="H39" s="32">
        <f t="shared" si="18"/>
        <v>248.68804901834997</v>
      </c>
      <c r="I39" s="32">
        <f t="shared" si="18"/>
        <v>261.89209447332257</v>
      </c>
      <c r="J39" s="32">
        <f t="shared" si="18"/>
        <v>303.02733437244132</v>
      </c>
      <c r="K39" s="32">
        <f t="shared" si="18"/>
        <v>325.09507234852964</v>
      </c>
      <c r="L39" s="32">
        <f t="shared" si="18"/>
        <v>325.16927661296438</v>
      </c>
      <c r="M39" s="32">
        <f t="shared" si="18"/>
        <v>259.94086038047612</v>
      </c>
      <c r="N39" s="32">
        <f t="shared" si="18"/>
        <v>231.46001648333757</v>
      </c>
      <c r="O39" s="43">
        <f t="shared" si="8"/>
        <v>3469.3000402615194</v>
      </c>
    </row>
  </sheetData>
  <mergeCells count="11">
    <mergeCell ref="A28:A39"/>
    <mergeCell ref="A27:B27"/>
    <mergeCell ref="A1:B1"/>
    <mergeCell ref="A12:A23"/>
    <mergeCell ref="A4:B4"/>
    <mergeCell ref="A5:B5"/>
    <mergeCell ref="A9:B9"/>
    <mergeCell ref="A10:B10"/>
    <mergeCell ref="A11:B11"/>
    <mergeCell ref="A6:B6"/>
    <mergeCell ref="A8:B8"/>
  </mergeCells>
  <conditionalFormatting sqref="C12:N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:N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92E9-CA21-4527-B347-5A640257C8BD}">
  <dimension ref="A1:O27"/>
  <sheetViews>
    <sheetView tabSelected="1" workbookViewId="0">
      <selection activeCell="H9" sqref="H9"/>
    </sheetView>
  </sheetViews>
  <sheetFormatPr baseColWidth="10" defaultRowHeight="15" x14ac:dyDescent="0.25"/>
  <cols>
    <col min="1" max="1" width="35" customWidth="1"/>
    <col min="2" max="2" width="28.140625" customWidth="1"/>
    <col min="3" max="3" width="14.42578125" bestFit="1" customWidth="1"/>
    <col min="4" max="14" width="7.5703125" bestFit="1" customWidth="1"/>
    <col min="15" max="15" width="11.28515625" bestFit="1" customWidth="1"/>
  </cols>
  <sheetData>
    <row r="1" spans="1:15" x14ac:dyDescent="0.25">
      <c r="A1" s="53" t="s">
        <v>62</v>
      </c>
      <c r="B1" s="53"/>
    </row>
    <row r="2" spans="1:15" x14ac:dyDescent="0.25">
      <c r="A2" t="s">
        <v>60</v>
      </c>
      <c r="B2">
        <v>60</v>
      </c>
    </row>
    <row r="3" spans="1:15" ht="15.75" thickBot="1" x14ac:dyDescent="0.3">
      <c r="A3" s="47"/>
    </row>
    <row r="4" spans="1:15" x14ac:dyDescent="0.25">
      <c r="A4" s="21" t="s">
        <v>3</v>
      </c>
      <c r="B4" s="21" t="s">
        <v>5</v>
      </c>
      <c r="C4" s="19"/>
    </row>
    <row r="5" spans="1:15" ht="15.75" thickBot="1" x14ac:dyDescent="0.3">
      <c r="A5" s="23" t="s">
        <v>4</v>
      </c>
      <c r="B5" s="23" t="s">
        <v>6</v>
      </c>
      <c r="C5" s="17"/>
    </row>
    <row r="6" spans="1:15" x14ac:dyDescent="0.25">
      <c r="A6" s="22" t="s">
        <v>54</v>
      </c>
      <c r="B6" s="22">
        <v>0.80100000000000005</v>
      </c>
      <c r="C6" s="15"/>
    </row>
    <row r="7" spans="1:15" x14ac:dyDescent="0.25">
      <c r="A7" s="22" t="s">
        <v>55</v>
      </c>
      <c r="B7" s="22">
        <v>4.62</v>
      </c>
      <c r="C7" s="15"/>
    </row>
    <row r="8" spans="1:15" x14ac:dyDescent="0.25">
      <c r="A8" s="22" t="s">
        <v>56</v>
      </c>
      <c r="B8" s="22">
        <v>3.03</v>
      </c>
      <c r="C8" s="15"/>
    </row>
    <row r="9" spans="1:15" x14ac:dyDescent="0.25">
      <c r="A9" s="22" t="s">
        <v>57</v>
      </c>
      <c r="B9" s="22">
        <v>1730</v>
      </c>
      <c r="C9" s="15"/>
    </row>
    <row r="10" spans="1:15" x14ac:dyDescent="0.25">
      <c r="A10" s="22" t="s">
        <v>58</v>
      </c>
      <c r="B10" s="22">
        <v>1.103</v>
      </c>
      <c r="C10" s="15"/>
    </row>
    <row r="11" spans="1:15" ht="15.75" thickBot="1" x14ac:dyDescent="0.3">
      <c r="A11" s="23" t="s">
        <v>59</v>
      </c>
      <c r="B11" s="23">
        <v>7.0000000000000001E-3</v>
      </c>
      <c r="C11" s="17"/>
    </row>
    <row r="12" spans="1:15" ht="15.75" thickBot="1" x14ac:dyDescent="0.3"/>
    <row r="13" spans="1:15" ht="45.75" thickBot="1" x14ac:dyDescent="0.3">
      <c r="A13" s="54" t="s">
        <v>46</v>
      </c>
      <c r="B13" s="55"/>
      <c r="C13" s="20" t="s">
        <v>32</v>
      </c>
      <c r="D13" s="20" t="s">
        <v>33</v>
      </c>
      <c r="E13" s="20" t="s">
        <v>34</v>
      </c>
      <c r="F13" s="20" t="s">
        <v>35</v>
      </c>
      <c r="G13" s="20" t="s">
        <v>36</v>
      </c>
      <c r="H13" s="20" t="s">
        <v>37</v>
      </c>
      <c r="I13" s="20" t="s">
        <v>38</v>
      </c>
      <c r="J13" s="20" t="s">
        <v>39</v>
      </c>
      <c r="K13" s="20" t="s">
        <v>40</v>
      </c>
      <c r="L13" s="20" t="s">
        <v>41</v>
      </c>
      <c r="M13" s="20" t="s">
        <v>42</v>
      </c>
      <c r="N13" s="20" t="s">
        <v>43</v>
      </c>
      <c r="O13" s="24" t="s">
        <v>51</v>
      </c>
    </row>
    <row r="14" spans="1:15" x14ac:dyDescent="0.25">
      <c r="A14" s="56" t="s">
        <v>53</v>
      </c>
      <c r="B14" s="58"/>
      <c r="C14" s="21">
        <v>1.8</v>
      </c>
      <c r="D14" s="18">
        <v>2.2000000000000002</v>
      </c>
      <c r="E14" s="18">
        <v>5.8</v>
      </c>
      <c r="F14" s="18">
        <v>10.9</v>
      </c>
      <c r="G14" s="18">
        <v>14.3</v>
      </c>
      <c r="H14" s="18">
        <v>17.5</v>
      </c>
      <c r="I14" s="18">
        <v>19.5</v>
      </c>
      <c r="J14" s="18">
        <v>17.8</v>
      </c>
      <c r="K14" s="18">
        <v>14.5</v>
      </c>
      <c r="L14" s="18">
        <v>10.3</v>
      </c>
      <c r="M14" s="18">
        <v>6</v>
      </c>
      <c r="N14" s="19">
        <v>2.5</v>
      </c>
      <c r="O14" s="25"/>
    </row>
    <row r="15" spans="1:15" ht="15.75" thickBot="1" x14ac:dyDescent="0.3">
      <c r="A15" s="44"/>
      <c r="B15" s="45" t="s">
        <v>61</v>
      </c>
      <c r="C15" s="23">
        <f>$B$2-C14</f>
        <v>58.2</v>
      </c>
      <c r="D15" s="16">
        <f t="shared" ref="D15:N15" si="0">$B$2-D14</f>
        <v>57.8</v>
      </c>
      <c r="E15" s="16">
        <f t="shared" si="0"/>
        <v>54.2</v>
      </c>
      <c r="F15" s="16">
        <f t="shared" si="0"/>
        <v>49.1</v>
      </c>
      <c r="G15" s="16">
        <f t="shared" si="0"/>
        <v>45.7</v>
      </c>
      <c r="H15" s="16">
        <f t="shared" si="0"/>
        <v>42.5</v>
      </c>
      <c r="I15" s="16">
        <f t="shared" si="0"/>
        <v>40.5</v>
      </c>
      <c r="J15" s="16">
        <f t="shared" si="0"/>
        <v>42.2</v>
      </c>
      <c r="K15" s="16">
        <f t="shared" si="0"/>
        <v>45.5</v>
      </c>
      <c r="L15" s="16">
        <f t="shared" si="0"/>
        <v>49.7</v>
      </c>
      <c r="M15" s="16">
        <f t="shared" si="0"/>
        <v>54</v>
      </c>
      <c r="N15" s="17">
        <f t="shared" si="0"/>
        <v>57.5</v>
      </c>
      <c r="O15" s="25"/>
    </row>
    <row r="16" spans="1:15" ht="15.75" thickBot="1" x14ac:dyDescent="0.3">
      <c r="A16" s="49" t="s">
        <v>49</v>
      </c>
      <c r="B16" s="18">
        <v>20</v>
      </c>
      <c r="C16" s="32">
        <f>'Solares Dargebot'!C28*($B$6-$B$10*C$15/'Solares Dargebot'!C28-$B$11*C$15/'Solares Dargebot'!C28^2)*'Solares Dargebot'!C$8*'Solares Dargebot'!C$7/1000</f>
        <v>18.54200133737384</v>
      </c>
      <c r="D16" s="32">
        <f>'Solares Dargebot'!D28*($B$6-$B$10*D$15/'Solares Dargebot'!D28-$B$11*D$15/'Solares Dargebot'!D28^2)*'Solares Dargebot'!D$8*'Solares Dargebot'!D$7/1000</f>
        <v>34.394407565743442</v>
      </c>
      <c r="E16" s="32">
        <f>'Solares Dargebot'!E28*($B$6-$B$10*E$15/'Solares Dargebot'!E28-$B$11*E$15/'Solares Dargebot'!E28^2)*'Solares Dargebot'!E$8*'Solares Dargebot'!E$7/1000</f>
        <v>61.710040500477042</v>
      </c>
      <c r="F16" s="32">
        <f>'Solares Dargebot'!F28*($B$6-$B$10*F$15/'Solares Dargebot'!F28-$B$11*F$15/'Solares Dargebot'!F28^2)*'Solares Dargebot'!F$8*'Solares Dargebot'!F$7/1000</f>
        <v>95.24119613514226</v>
      </c>
      <c r="G16" s="32">
        <f>'Solares Dargebot'!G28*($B$6-$B$10*G$15/'Solares Dargebot'!G28-$B$11*G$15/'Solares Dargebot'!G28^2)*'Solares Dargebot'!G$8*'Solares Dargebot'!G$7/1000</f>
        <v>116.85618108757049</v>
      </c>
      <c r="H16" s="32">
        <f>'Solares Dargebot'!H28*($B$6-$B$10*H$15/'Solares Dargebot'!H28-$B$11*H$15/'Solares Dargebot'!H28^2)*'Solares Dargebot'!H$8*'Solares Dargebot'!H$7/1000</f>
        <v>119.21917959565086</v>
      </c>
      <c r="I16" s="32">
        <f>'Solares Dargebot'!I28*($B$6-$B$10*I$15/'Solares Dargebot'!I28-$B$11*I$15/'Solares Dargebot'!I28^2)*'Solares Dargebot'!I$8*'Solares Dargebot'!I$7/1000</f>
        <v>123.59097175976689</v>
      </c>
      <c r="J16" s="32">
        <f>'Solares Dargebot'!J28*($B$6-$B$10*J$15/'Solares Dargebot'!J28-$B$11*J$15/'Solares Dargebot'!J28^2)*'Solares Dargebot'!J$8*'Solares Dargebot'!J$7/1000</f>
        <v>110.28314319886027</v>
      </c>
      <c r="K16" s="32">
        <f>'Solares Dargebot'!K28*($B$6-$B$10*K$15/'Solares Dargebot'!K28-$B$11*K$15/'Solares Dargebot'!K28^2)*'Solares Dargebot'!K$8*'Solares Dargebot'!K$7/1000</f>
        <v>77.319287561631313</v>
      </c>
      <c r="L16" s="32">
        <f>'Solares Dargebot'!L28*($B$6-$B$10*L$15/'Solares Dargebot'!L28-$B$11*L$15/'Solares Dargebot'!L28^2)*'Solares Dargebot'!L$8*'Solares Dargebot'!L$7/1000</f>
        <v>50.331294632008898</v>
      </c>
      <c r="M16" s="32">
        <f>'Solares Dargebot'!M28*($B$6-$B$10*M$15/'Solares Dargebot'!M28-$B$11*M$15/'Solares Dargebot'!M28^2)*'Solares Dargebot'!M$8*'Solares Dargebot'!M$7/1000</f>
        <v>20.763114303078371</v>
      </c>
      <c r="N16" s="32">
        <f>'Solares Dargebot'!N28*($B$6-$B$10*N$15/'Solares Dargebot'!N28-$B$11*N$15/'Solares Dargebot'!N28^2)*'Solares Dargebot'!N$8*'Solares Dargebot'!N$7/1000</f>
        <v>12.112666190611074</v>
      </c>
      <c r="O16" s="35">
        <f>SUM(C16:N16)</f>
        <v>840.36348386791462</v>
      </c>
    </row>
    <row r="17" spans="1:15" ht="15.75" thickBot="1" x14ac:dyDescent="0.3">
      <c r="A17" s="50"/>
      <c r="B17" s="14">
        <v>25</v>
      </c>
      <c r="C17" s="32">
        <f>'Solares Dargebot'!C29*($B$6-$B$10*C$15/'Solares Dargebot'!C29-$B$11*C$15/'Solares Dargebot'!C29^2)*'Solares Dargebot'!C$8*'Solares Dargebot'!C$7/1000</f>
        <v>22.250064659773138</v>
      </c>
      <c r="D17" s="32">
        <f>'Solares Dargebot'!D29*($B$6-$B$10*D$15/'Solares Dargebot'!D29-$B$11*D$15/'Solares Dargebot'!D29^2)*'Solares Dargebot'!D$8*'Solares Dargebot'!D$7/1000</f>
        <v>38.499635512814521</v>
      </c>
      <c r="E17" s="32">
        <f>'Solares Dargebot'!E29*($B$6-$B$10*E$15/'Solares Dargebot'!E29-$B$11*E$15/'Solares Dargebot'!E29^2)*'Solares Dargebot'!E$8*'Solares Dargebot'!E$7/1000</f>
        <v>66.00967611297628</v>
      </c>
      <c r="F17" s="32">
        <f>'Solares Dargebot'!F29*($B$6-$B$10*F$15/'Solares Dargebot'!F29-$B$11*F$15/'Solares Dargebot'!F29^2)*'Solares Dargebot'!F$8*'Solares Dargebot'!F$7/1000</f>
        <v>98.551198464324088</v>
      </c>
      <c r="G17" s="32">
        <f>'Solares Dargebot'!G29*($B$6-$B$10*G$15/'Solares Dargebot'!G29-$B$11*G$15/'Solares Dargebot'!G29^2)*'Solares Dargebot'!G$8*'Solares Dargebot'!G$7/1000</f>
        <v>118.68761634118863</v>
      </c>
      <c r="H17" s="32">
        <f>'Solares Dargebot'!H29*($B$6-$B$10*H$15/'Solares Dargebot'!H29-$B$11*H$15/'Solares Dargebot'!H29^2)*'Solares Dargebot'!H$8*'Solares Dargebot'!H$7/1000</f>
        <v>120.09541328607716</v>
      </c>
      <c r="I17" s="32">
        <f>'Solares Dargebot'!I29*($B$6-$B$10*I$15/'Solares Dargebot'!I29-$B$11*I$15/'Solares Dargebot'!I29^2)*'Solares Dargebot'!I$8*'Solares Dargebot'!I$7/1000</f>
        <v>124.91121314769099</v>
      </c>
      <c r="J17" s="32">
        <f>'Solares Dargebot'!J29*($B$6-$B$10*J$15/'Solares Dargebot'!J29-$B$11*J$15/'Solares Dargebot'!J29^2)*'Solares Dargebot'!J$8*'Solares Dargebot'!J$7/1000</f>
        <v>113.10240704386351</v>
      </c>
      <c r="K17" s="32">
        <f>'Solares Dargebot'!K29*($B$6-$B$10*K$15/'Solares Dargebot'!K29-$B$11*K$15/'Solares Dargebot'!K29^2)*'Solares Dargebot'!K$8*'Solares Dargebot'!K$7/1000</f>
        <v>81.329390460958976</v>
      </c>
      <c r="L17" s="32">
        <f>'Solares Dargebot'!L29*($B$6-$B$10*L$15/'Solares Dargebot'!L29-$B$11*L$15/'Solares Dargebot'!L29^2)*'Solares Dargebot'!L$8*'Solares Dargebot'!L$7/1000</f>
        <v>55.006614332864849</v>
      </c>
      <c r="M17" s="32">
        <f>'Solares Dargebot'!M29*($B$6-$B$10*M$15/'Solares Dargebot'!M29-$B$11*M$15/'Solares Dargebot'!M29^2)*'Solares Dargebot'!M$8*'Solares Dargebot'!M$7/1000</f>
        <v>24.300904729274123</v>
      </c>
      <c r="N17" s="32">
        <f>'Solares Dargebot'!N29*($B$6-$B$10*N$15/'Solares Dargebot'!N29-$B$11*N$15/'Solares Dargebot'!N29^2)*'Solares Dargebot'!N$8*'Solares Dargebot'!N$7/1000</f>
        <v>15.296531936889895</v>
      </c>
      <c r="O17" s="39">
        <f t="shared" ref="O17:O27" si="1">SUM(C17:N17)</f>
        <v>878.04066602869614</v>
      </c>
    </row>
    <row r="18" spans="1:15" ht="15.75" thickBot="1" x14ac:dyDescent="0.3">
      <c r="A18" s="50"/>
      <c r="B18" s="14">
        <v>30</v>
      </c>
      <c r="C18" s="32">
        <f>'Solares Dargebot'!C30*($B$6-$B$10*C$15/'Solares Dargebot'!C30-$B$11*C$15/'Solares Dargebot'!C30^2)*'Solares Dargebot'!C$8*'Solares Dargebot'!C$7/1000</f>
        <v>25.658522742602269</v>
      </c>
      <c r="D18" s="32">
        <f>'Solares Dargebot'!D30*($B$6-$B$10*D$15/'Solares Dargebot'!D30-$B$11*D$15/'Solares Dargebot'!D30^2)*'Solares Dargebot'!D$8*'Solares Dargebot'!D$7/1000</f>
        <v>42.177348942820736</v>
      </c>
      <c r="E18" s="32">
        <f>'Solares Dargebot'!E30*($B$6-$B$10*E$15/'Solares Dargebot'!E30-$B$11*E$15/'Solares Dargebot'!E30^2)*'Solares Dargebot'!E$8*'Solares Dargebot'!E$7/1000</f>
        <v>69.643318099962826</v>
      </c>
      <c r="F18" s="32">
        <f>'Solares Dargebot'!F30*($B$6-$B$10*F$15/'Solares Dargebot'!F30-$B$11*F$15/'Solares Dargebot'!F30^2)*'Solares Dargebot'!F$8*'Solares Dargebot'!F$7/1000</f>
        <v>100.9578342463319</v>
      </c>
      <c r="G18" s="32">
        <f>'Solares Dargebot'!G30*($B$6-$B$10*G$15/'Solares Dargebot'!G30-$B$11*G$15/'Solares Dargebot'!G30^2)*'Solares Dargebot'!G$8*'Solares Dargebot'!G$7/1000</f>
        <v>119.43737392140868</v>
      </c>
      <c r="H18" s="32">
        <f>'Solares Dargebot'!H30*($B$6-$B$10*H$15/'Solares Dargebot'!H30-$B$11*H$15/'Solares Dargebot'!H30^2)*'Solares Dargebot'!H$8*'Solares Dargebot'!H$7/1000</f>
        <v>119.88853550226651</v>
      </c>
      <c r="I18" s="32">
        <f>'Solares Dargebot'!I30*($B$6-$B$10*I$15/'Solares Dargebot'!I30-$B$11*I$15/'Solares Dargebot'!I30^2)*'Solares Dargebot'!I$8*'Solares Dargebot'!I$7/1000</f>
        <v>125.11744030708579</v>
      </c>
      <c r="J18" s="32">
        <f>'Solares Dargebot'!J30*($B$6-$B$10*J$15/'Solares Dargebot'!J30-$B$11*J$15/'Solares Dargebot'!J30^2)*'Solares Dargebot'!J$8*'Solares Dargebot'!J$7/1000</f>
        <v>114.90604622283257</v>
      </c>
      <c r="K18" s="32">
        <f>'Solares Dargebot'!K30*($B$6-$B$10*K$15/'Solares Dargebot'!K30-$B$11*K$15/'Solares Dargebot'!K30^2)*'Solares Dargebot'!K$8*'Solares Dargebot'!K$7/1000</f>
        <v>84.579581963026371</v>
      </c>
      <c r="L18" s="32">
        <f>'Solares Dargebot'!L30*($B$6-$B$10*L$15/'Solares Dargebot'!L30-$B$11*L$15/'Solares Dargebot'!L30^2)*'Solares Dargebot'!L$8*'Solares Dargebot'!L$7/1000</f>
        <v>59.126197126074175</v>
      </c>
      <c r="M18" s="32">
        <f>'Solares Dargebot'!M30*($B$6-$B$10*M$15/'Solares Dargebot'!M30-$B$11*M$15/'Solares Dargebot'!M30^2)*'Solares Dargebot'!M$8*'Solares Dargebot'!M$7/1000</f>
        <v>27.532702812962885</v>
      </c>
      <c r="N18" s="32">
        <f>'Solares Dargebot'!N30*($B$6-$B$10*N$15/'Solares Dargebot'!N30-$B$11*N$15/'Solares Dargebot'!N30^2)*'Solares Dargebot'!N$8*'Solares Dargebot'!N$7/1000</f>
        <v>18.241260693898752</v>
      </c>
      <c r="O18" s="39">
        <f t="shared" si="1"/>
        <v>907.26616258127353</v>
      </c>
    </row>
    <row r="19" spans="1:15" ht="15.75" thickBot="1" x14ac:dyDescent="0.3">
      <c r="A19" s="50"/>
      <c r="B19" s="14">
        <v>35</v>
      </c>
      <c r="C19" s="32">
        <f>'Solares Dargebot'!C31*($B$6-$B$10*C$15/'Solares Dargebot'!C31-$B$11*C$15/'Solares Dargebot'!C31^2)*'Solares Dargebot'!C$8*'Solares Dargebot'!C$7/1000</f>
        <v>28.741439344384439</v>
      </c>
      <c r="D19" s="32">
        <f>'Solares Dargebot'!D31*($B$6-$B$10*D$15/'Solares Dargebot'!D31-$B$11*D$15/'Solares Dargebot'!D31^2)*'Solares Dargebot'!D$8*'Solares Dargebot'!D$7/1000</f>
        <v>45.399560170200161</v>
      </c>
      <c r="E19" s="32">
        <f>'Solares Dargebot'!E31*($B$6-$B$10*E$15/'Solares Dargebot'!E31-$B$11*E$15/'Solares Dargebot'!E31^2)*'Solares Dargebot'!E$8*'Solares Dargebot'!E$7/1000</f>
        <v>72.58331325954822</v>
      </c>
      <c r="F19" s="32">
        <f>'Solares Dargebot'!F31*($B$6-$B$10*F$15/'Solares Dargebot'!F31-$B$11*F$15/'Solares Dargebot'!F31^2)*'Solares Dargebot'!F$8*'Solares Dargebot'!F$7/1000</f>
        <v>102.44278783937472</v>
      </c>
      <c r="G19" s="32">
        <f>'Solares Dargebot'!G31*($B$6-$B$10*G$15/'Solares Dargebot'!G31-$B$11*G$15/'Solares Dargebot'!G31^2)*'Solares Dargebot'!G$8*'Solares Dargebot'!G$7/1000</f>
        <v>119.09974781492696</v>
      </c>
      <c r="H19" s="32">
        <f>'Solares Dargebot'!H31*($B$6-$B$10*H$15/'Solares Dargebot'!H31-$B$11*H$15/'Solares Dargebot'!H31^2)*'Solares Dargebot'!H$8*'Solares Dargebot'!H$7/1000</f>
        <v>118.60012068383017</v>
      </c>
      <c r="I19" s="32">
        <f>'Solares Dargebot'!I31*($B$6-$B$10*I$15/'Solares Dargebot'!I31-$B$11*I$15/'Solares Dargebot'!I31^2)*'Solares Dargebot'!I$8*'Solares Dargebot'!I$7/1000</f>
        <v>124.20808374796833</v>
      </c>
      <c r="J19" s="32">
        <f>'Solares Dargebot'!J31*($B$6-$B$10*J$15/'Solares Dargebot'!J31-$B$11*J$15/'Solares Dargebot'!J31^2)*'Solares Dargebot'!J$8*'Solares Dargebot'!J$7/1000</f>
        <v>115.68033416568981</v>
      </c>
      <c r="K19" s="32">
        <f>'Solares Dargebot'!K31*($B$6-$B$10*K$15/'Solares Dargebot'!K31-$B$11*K$15/'Solares Dargebot'!K31^2)*'Solares Dargebot'!K$8*'Solares Dargebot'!K$7/1000</f>
        <v>87.045126722614725</v>
      </c>
      <c r="L19" s="32">
        <f>'Solares Dargebot'!L31*($B$6-$B$10*L$15/'Solares Dargebot'!L31-$B$11*L$15/'Solares Dargebot'!L31^2)*'Solares Dargebot'!L$8*'Solares Dargebot'!L$7/1000</f>
        <v>62.6586919230622</v>
      </c>
      <c r="M19" s="32">
        <f>'Solares Dargebot'!M31*($B$6-$B$10*M$15/'Solares Dargebot'!M31-$B$11*M$15/'Solares Dargebot'!M31^2)*'Solares Dargebot'!M$8*'Solares Dargebot'!M$7/1000</f>
        <v>30.433915946171261</v>
      </c>
      <c r="N19" s="32">
        <f>'Solares Dargebot'!N31*($B$6-$B$10*N$15/'Solares Dargebot'!N31-$B$11*N$15/'Solares Dargebot'!N31^2)*'Solares Dargebot'!N$8*'Solares Dargebot'!N$7/1000</f>
        <v>20.924446766829526</v>
      </c>
      <c r="O19" s="39">
        <f t="shared" si="1"/>
        <v>927.81756838460046</v>
      </c>
    </row>
    <row r="20" spans="1:15" ht="15.75" thickBot="1" x14ac:dyDescent="0.3">
      <c r="A20" s="50"/>
      <c r="B20" s="14">
        <v>40</v>
      </c>
      <c r="C20" s="32">
        <f>'Solares Dargebot'!C32*($B$6-$B$10*C$15/'Solares Dargebot'!C32-$B$11*C$15/'Solares Dargebot'!C32^2)*'Solares Dargebot'!C$8*'Solares Dargebot'!C$7/1000</f>
        <v>31.47535438445183</v>
      </c>
      <c r="D20" s="32">
        <f>'Solares Dargebot'!D32*($B$6-$B$10*D$15/'Solares Dargebot'!D32-$B$11*D$15/'Solares Dargebot'!D32^2)*'Solares Dargebot'!D$8*'Solares Dargebot'!D$7/1000</f>
        <v>48.141747562628133</v>
      </c>
      <c r="E20" s="32">
        <f>'Solares Dargebot'!E32*($B$6-$B$10*E$15/'Solares Dargebot'!E32-$B$11*E$15/'Solares Dargebot'!E32^2)*'Solares Dargebot'!E$8*'Solares Dargebot'!E$7/1000</f>
        <v>74.807287157792516</v>
      </c>
      <c r="F20" s="32">
        <f>'Solares Dargebot'!F32*($B$6-$B$10*F$15/'Solares Dargebot'!F32-$B$11*F$15/'Solares Dargebot'!F32^2)*'Solares Dargebot'!F$8*'Solares Dargebot'!F$7/1000</f>
        <v>102.99475802901696</v>
      </c>
      <c r="G20" s="32">
        <f>'Solares Dargebot'!G32*($B$6-$B$10*G$15/'Solares Dargebot'!G32-$B$11*G$15/'Solares Dargebot'!G32^2)*'Solares Dargebot'!G$8*'Solares Dargebot'!G$7/1000</f>
        <v>117.6773075179272</v>
      </c>
      <c r="H20" s="32">
        <f>'Solares Dargebot'!H32*($B$6-$B$10*H$15/'Solares Dargebot'!H32-$B$11*H$15/'Solares Dargebot'!H32^2)*'Solares Dargebot'!H$8*'Solares Dargebot'!H$7/1000</f>
        <v>116.23997428492983</v>
      </c>
      <c r="I20" s="32">
        <f>'Solares Dargebot'!I32*($B$6-$B$10*I$15/'Solares Dargebot'!I32-$B$11*I$15/'Solares Dargebot'!I32^2)*'Solares Dargebot'!I$8*'Solares Dargebot'!I$7/1000</f>
        <v>122.19006411943587</v>
      </c>
      <c r="J20" s="32">
        <f>'Solares Dargebot'!J32*($B$6-$B$10*J$15/'Solares Dargebot'!J32-$B$11*J$15/'Solares Dargebot'!J32^2)*'Solares Dargebot'!J$8*'Solares Dargebot'!J$7/1000</f>
        <v>115.41937816170042</v>
      </c>
      <c r="K20" s="32">
        <f>'Solares Dargebot'!K32*($B$6-$B$10*K$15/'Solares Dargebot'!K32-$B$11*K$15/'Solares Dargebot'!K32^2)*'Solares Dargebot'!K$8*'Solares Dargebot'!K$7/1000</f>
        <v>88.707260844978151</v>
      </c>
      <c r="L20" s="32">
        <f>'Solares Dargebot'!L32*($B$6-$B$10*L$15/'Solares Dargebot'!L32-$B$11*L$15/'Solares Dargebot'!L32^2)*'Solares Dargebot'!L$8*'Solares Dargebot'!L$7/1000</f>
        <v>65.577215303772135</v>
      </c>
      <c r="M20" s="32">
        <f>'Solares Dargebot'!M32*($B$6-$B$10*M$15/'Solares Dargebot'!M32-$B$11*M$15/'Solares Dargebot'!M32^2)*'Solares Dargebot'!M$8*'Solares Dargebot'!M$7/1000</f>
        <v>32.982466385209406</v>
      </c>
      <c r="N20" s="32">
        <f>'Solares Dargebot'!N32*($B$6-$B$10*N$15/'Solares Dargebot'!N32-$B$11*N$15/'Solares Dargebot'!N32^2)*'Solares Dargebot'!N$8*'Solares Dargebot'!N$7/1000</f>
        <v>23.325673056408416</v>
      </c>
      <c r="O20" s="39">
        <f t="shared" si="1"/>
        <v>939.53848680825081</v>
      </c>
    </row>
    <row r="21" spans="1:15" ht="15.75" thickBot="1" x14ac:dyDescent="0.3">
      <c r="A21" s="50"/>
      <c r="B21" s="14">
        <v>45</v>
      </c>
      <c r="C21" s="32">
        <f>'Solares Dargebot'!C33*($B$6-$B$10*C$15/'Solares Dargebot'!C33-$B$11*C$15/'Solares Dargebot'!C33^2)*'Solares Dargebot'!C$8*'Solares Dargebot'!C$7/1000</f>
        <v>33.839463020530189</v>
      </c>
      <c r="D21" s="32">
        <f>'Solares Dargebot'!D33*($B$6-$B$10*D$15/'Solares Dargebot'!D33-$B$11*D$15/'Solares Dargebot'!D33^2)*'Solares Dargebot'!D$8*'Solares Dargebot'!D$7/1000</f>
        <v>50.383042360043618</v>
      </c>
      <c r="E21" s="32">
        <f>'Solares Dargebot'!E33*($B$6-$B$10*E$15/'Solares Dargebot'!E33-$B$11*E$15/'Solares Dargebot'!E33^2)*'Solares Dargebot'!E$8*'Solares Dargebot'!E$7/1000</f>
        <v>76.298314487275803</v>
      </c>
      <c r="F21" s="32">
        <f>'Solares Dargebot'!F33*($B$6-$B$10*F$15/'Solares Dargebot'!F33-$B$11*F$15/'Solares Dargebot'!F33^2)*'Solares Dargebot'!F$8*'Solares Dargebot'!F$7/1000</f>
        <v>102.60954405317977</v>
      </c>
      <c r="G21" s="32">
        <f>'Solares Dargebot'!G33*($B$6-$B$10*G$15/'Solares Dargebot'!G33-$B$11*G$15/'Solares Dargebot'!G33^2)*'Solares Dargebot'!G$8*'Solares Dargebot'!G$7/1000</f>
        <v>115.18087847702229</v>
      </c>
      <c r="H21" s="32">
        <f>'Solares Dargebot'!H33*($B$6-$B$10*H$15/'Solares Dargebot'!H33-$B$11*H$15/'Solares Dargebot'!H33^2)*'Solares Dargebot'!H$8*'Solares Dargebot'!H$7/1000</f>
        <v>112.82605813478258</v>
      </c>
      <c r="I21" s="32">
        <f>'Solares Dargebot'!I33*($B$6-$B$10*I$15/'Solares Dargebot'!I33-$B$11*I$15/'Solares Dargebot'!I33^2)*'Solares Dargebot'!I$8*'Solares Dargebot'!I$7/1000</f>
        <v>119.07873953038504</v>
      </c>
      <c r="J21" s="32">
        <f>'Solares Dargebot'!J33*($B$6-$B$10*J$15/'Solares Dargebot'!J33-$B$11*J$15/'Solares Dargebot'!J33^2)*'Solares Dargebot'!J$8*'Solares Dargebot'!J$7/1000</f>
        <v>114.12516421417878</v>
      </c>
      <c r="K21" s="32">
        <f>'Solares Dargebot'!K33*($B$6-$B$10*K$15/'Solares Dargebot'!K33-$B$11*K$15/'Solares Dargebot'!K33^2)*'Solares Dargebot'!K$8*'Solares Dargebot'!K$7/1000</f>
        <v>89.553334728488778</v>
      </c>
      <c r="L21" s="32">
        <f>'Solares Dargebot'!L33*($B$6-$B$10*L$15/'Solares Dargebot'!L33-$B$11*L$15/'Solares Dargebot'!L33^2)*'Solares Dargebot'!L$8*'Solares Dargebot'!L$7/1000</f>
        <v>67.859556244383924</v>
      </c>
      <c r="M21" s="32">
        <f>'Solares Dargebot'!M33*($B$6-$B$10*M$15/'Solares Dargebot'!M33-$B$11*M$15/'Solares Dargebot'!M33^2)*'Solares Dargebot'!M$8*'Solares Dargebot'!M$7/1000</f>
        <v>35.15895967171582</v>
      </c>
      <c r="N21" s="32">
        <f>'Solares Dargebot'!N33*($B$6-$B$10*N$15/'Solares Dargebot'!N33-$B$11*N$15/'Solares Dargebot'!N33^2)*'Solares Dargebot'!N$8*'Solares Dargebot'!N$7/1000</f>
        <v>25.426667194498041</v>
      </c>
      <c r="O21" s="39">
        <f t="shared" si="1"/>
        <v>942.33972211648461</v>
      </c>
    </row>
    <row r="22" spans="1:15" ht="15.75" thickBot="1" x14ac:dyDescent="0.3">
      <c r="A22" s="50"/>
      <c r="B22" s="14">
        <v>50</v>
      </c>
      <c r="C22" s="32">
        <f>'Solares Dargebot'!C34*($B$6-$B$10*C$15/'Solares Dargebot'!C34-$B$11*C$15/'Solares Dargebot'!C34^2)*'Solares Dargebot'!C$8*'Solares Dargebot'!C$7/1000</f>
        <v>35.815774287494946</v>
      </c>
      <c r="D22" s="32">
        <f>'Solares Dargebot'!D34*($B$6-$B$10*D$15/'Solares Dargebot'!D34-$B$11*D$15/'Solares Dargebot'!D34^2)*'Solares Dargebot'!D$8*'Solares Dargebot'!D$7/1000</f>
        <v>52.106387615926771</v>
      </c>
      <c r="E22" s="32">
        <f>'Solares Dargebot'!E34*($B$6-$B$10*E$15/'Solares Dargebot'!E34-$B$11*E$15/'Solares Dargebot'!E34^2)*'Solares Dargebot'!E$8*'Solares Dargebot'!E$7/1000</f>
        <v>77.045047925377474</v>
      </c>
      <c r="F22" s="32">
        <f>'Solares Dargebot'!F34*($B$6-$B$10*F$15/'Solares Dargebot'!F34-$B$11*F$15/'Solares Dargebot'!F34^2)*'Solares Dargebot'!F$8*'Solares Dargebot'!F$7/1000</f>
        <v>101.29007757802944</v>
      </c>
      <c r="G22" s="32">
        <f>'Solares Dargebot'!G34*($B$6-$B$10*G$15/'Solares Dargebot'!G34-$B$11*G$15/'Solares Dargebot'!G34^2)*'Solares Dargebot'!G$8*'Solares Dargebot'!G$7/1000</f>
        <v>111.62945968497277</v>
      </c>
      <c r="H22" s="32">
        <f>'Solares Dargebot'!H34*($B$6-$B$10*H$15/'Solares Dargebot'!H34-$B$11*H$15/'Solares Dargebot'!H34^2)*'Solares Dargebot'!H$8*'Solares Dargebot'!H$7/1000</f>
        <v>108.3843537088032</v>
      </c>
      <c r="I22" s="32">
        <f>'Solares Dargebot'!I34*($B$6-$B$10*I$15/'Solares Dargebot'!I34-$B$11*I$15/'Solares Dargebot'!I34^2)*'Solares Dargebot'!I$8*'Solares Dargebot'!I$7/1000</f>
        <v>114.89778864352515</v>
      </c>
      <c r="J22" s="32">
        <f>'Solares Dargebot'!J34*($B$6-$B$10*J$15/'Solares Dargebot'!J34-$B$11*J$15/'Solares Dargebot'!J34^2)*'Solares Dargebot'!J$8*'Solares Dargebot'!J$7/1000</f>
        <v>111.80754192327342</v>
      </c>
      <c r="K22" s="32">
        <f>'Solares Dargebot'!K34*($B$6-$B$10*K$15/'Solares Dargebot'!K34-$B$11*K$15/'Solares Dargebot'!K34^2)*'Solares Dargebot'!K$8*'Solares Dargebot'!K$7/1000</f>
        <v>89.57690935783377</v>
      </c>
      <c r="L22" s="32">
        <f>'Solares Dargebot'!L34*($B$6-$B$10*L$15/'Solares Dargebot'!L34-$B$11*L$15/'Solares Dargebot'!L34^2)*'Solares Dargebot'!L$8*'Solares Dargebot'!L$7/1000</f>
        <v>69.488345235750245</v>
      </c>
      <c r="M22" s="32">
        <f>'Solares Dargebot'!M34*($B$6-$B$10*M$15/'Solares Dargebot'!M34-$B$11*M$15/'Solares Dargebot'!M34^2)*'Solares Dargebot'!M$8*'Solares Dargebot'!M$7/1000</f>
        <v>36.946832465042306</v>
      </c>
      <c r="N22" s="32">
        <f>'Solares Dargebot'!N34*($B$6-$B$10*N$15/'Solares Dargebot'!N34-$B$11*N$15/'Solares Dargebot'!N34^2)*'Solares Dargebot'!N$8*'Solares Dargebot'!N$7/1000</f>
        <v>27.211441021929392</v>
      </c>
      <c r="O22" s="39">
        <f t="shared" si="1"/>
        <v>936.19995944795892</v>
      </c>
    </row>
    <row r="23" spans="1:15" ht="15.75" thickBot="1" x14ac:dyDescent="0.3">
      <c r="A23" s="50"/>
      <c r="B23" s="14">
        <v>55</v>
      </c>
      <c r="C23" s="32">
        <f>'Solares Dargebot'!C35*($B$6-$B$10*C$15/'Solares Dargebot'!C35-$B$11*C$15/'Solares Dargebot'!C35^2)*'Solares Dargebot'!C$8*'Solares Dargebot'!C$7/1000</f>
        <v>37.389248198058397</v>
      </c>
      <c r="D23" s="32">
        <f>'Solares Dargebot'!D35*($B$6-$B$10*D$15/'Solares Dargebot'!D35-$B$11*D$15/'Solares Dargebot'!D35^2)*'Solares Dargebot'!D$8*'Solares Dargebot'!D$7/1000</f>
        <v>53.298668083442131</v>
      </c>
      <c r="E23" s="32">
        <f>'Solares Dargebot'!E35*($B$6-$B$10*E$15/'Solares Dargebot'!E35-$B$11*E$15/'Solares Dargebot'!E35^2)*'Solares Dargebot'!E$8*'Solares Dargebot'!E$7/1000</f>
        <v>77.041804521117726</v>
      </c>
      <c r="F23" s="32">
        <f>'Solares Dargebot'!F35*($B$6-$B$10*F$15/'Solares Dargebot'!F35-$B$11*F$15/'Solares Dargebot'!F35^2)*'Solares Dargebot'!F$8*'Solares Dargebot'!F$7/1000</f>
        <v>99.046400382373008</v>
      </c>
      <c r="G23" s="32">
        <f>'Solares Dargebot'!G35*($B$6-$B$10*G$15/'Solares Dargebot'!G35-$B$11*G$15/'Solares Dargebot'!G35^2)*'Solares Dargebot'!G$8*'Solares Dargebot'!G$7/1000</f>
        <v>107.05007905542521</v>
      </c>
      <c r="H23" s="32">
        <f>'Solares Dargebot'!H35*($B$6-$B$10*H$15/'Solares Dargebot'!H35-$B$11*H$15/'Solares Dargebot'!H35^2)*'Solares Dargebot'!H$8*'Solares Dargebot'!H$7/1000</f>
        <v>102.94866434553514</v>
      </c>
      <c r="I23" s="32">
        <f>'Solares Dargebot'!I35*($B$6-$B$10*I$15/'Solares Dargebot'!I35-$B$11*I$15/'Solares Dargebot'!I35^2)*'Solares Dargebot'!I$8*'Solares Dargebot'!I$7/1000</f>
        <v>109.67903042841662</v>
      </c>
      <c r="J23" s="32">
        <f>'Solares Dargebot'!J35*($B$6-$B$10*J$15/'Solares Dargebot'!J35-$B$11*J$15/'Solares Dargebot'!J35^2)*'Solares Dargebot'!J$8*'Solares Dargebot'!J$7/1000</f>
        <v>108.48414951144052</v>
      </c>
      <c r="K23" s="32">
        <f>'Solares Dargebot'!K35*($B$6-$B$10*K$15/'Solares Dargebot'!K35-$B$11*K$15/'Solares Dargebot'!K35^2)*'Solares Dargebot'!K$8*'Solares Dargebot'!K$7/1000</f>
        <v>88.777805319078823</v>
      </c>
      <c r="L23" s="32">
        <f>'Solares Dargebot'!L35*($B$6-$B$10*L$15/'Solares Dargebot'!L35-$B$11*L$15/'Solares Dargebot'!L35^2)*'Solares Dargebot'!L$8*'Solares Dargebot'!L$7/1000</f>
        <v>70.451186524829183</v>
      </c>
      <c r="M23" s="32">
        <f>'Solares Dargebot'!M35*($B$6-$B$10*M$15/'Solares Dargebot'!M35-$B$11*M$15/'Solares Dargebot'!M35^2)*'Solares Dargebot'!M$8*'Solares Dargebot'!M$7/1000</f>
        <v>38.332478736886799</v>
      </c>
      <c r="N23" s="32">
        <f>'Solares Dargebot'!N35*($B$6-$B$10*N$15/'Solares Dargebot'!N35-$B$11*N$15/'Solares Dargebot'!N35^2)*'Solares Dargebot'!N$8*'Solares Dargebot'!N$7/1000</f>
        <v>28.666412509031396</v>
      </c>
      <c r="O23" s="39">
        <f t="shared" si="1"/>
        <v>921.16592761563481</v>
      </c>
    </row>
    <row r="24" spans="1:15" ht="15.75" thickBot="1" x14ac:dyDescent="0.3">
      <c r="A24" s="50"/>
      <c r="B24" s="14">
        <v>60</v>
      </c>
      <c r="C24" s="32">
        <f>'Solares Dargebot'!C36*($B$6-$B$10*C$15/'Solares Dargebot'!C36-$B$11*C$15/'Solares Dargebot'!C36^2)*'Solares Dargebot'!C$8*'Solares Dargebot'!C$7/1000</f>
        <v>38.54791031535197</v>
      </c>
      <c r="D24" s="32">
        <f>'Solares Dargebot'!D36*($B$6-$B$10*D$15/'Solares Dargebot'!D36-$B$11*D$15/'Solares Dargebot'!D36^2)*'Solares Dargebot'!D$8*'Solares Dargebot'!D$7/1000</f>
        <v>53.950810075120053</v>
      </c>
      <c r="E24" s="32">
        <f>'Solares Dargebot'!E36*($B$6-$B$10*E$15/'Solares Dargebot'!E36-$B$11*E$15/'Solares Dargebot'!E36^2)*'Solares Dargebot'!E$8*'Solares Dargebot'!E$7/1000</f>
        <v>76.288608958156601</v>
      </c>
      <c r="F24" s="32">
        <f>'Solares Dargebot'!F36*($B$6-$B$10*F$15/'Solares Dargebot'!F36-$B$11*F$15/'Solares Dargebot'!F36^2)*'Solares Dargebot'!F$8*'Solares Dargebot'!F$7/1000</f>
        <v>95.895587919721436</v>
      </c>
      <c r="G24" s="32">
        <f>'Solares Dargebot'!G36*($B$6-$B$10*G$15/'Solares Dargebot'!G36-$B$11*G$15/'Solares Dargebot'!G36^2)*'Solares Dargebot'!G$8*'Solares Dargebot'!G$7/1000</f>
        <v>101.4775876712942</v>
      </c>
      <c r="H24" s="32">
        <f>'Solares Dargebot'!H36*($B$6-$B$10*H$15/'Solares Dargebot'!H36-$B$11*H$15/'Solares Dargebot'!H36^2)*'Solares Dargebot'!H$8*'Solares Dargebot'!H$7/1000</f>
        <v>96.560357904481108</v>
      </c>
      <c r="I24" s="32">
        <f>'Solares Dargebot'!I36*($B$6-$B$10*I$15/'Solares Dargebot'!I36-$B$11*I$15/'Solares Dargebot'!I36^2)*'Solares Dargebot'!I$8*'Solares Dargebot'!I$7/1000</f>
        <v>103.46218193765107</v>
      </c>
      <c r="J24" s="32">
        <f>'Solares Dargebot'!J36*($B$6-$B$10*J$15/'Solares Dargebot'!J36-$B$11*J$15/'Solares Dargebot'!J36^2)*'Solares Dargebot'!J$8*'Solares Dargebot'!J$7/1000</f>
        <v>104.18027955984559</v>
      </c>
      <c r="K24" s="32">
        <f>'Solares Dargebot'!K36*($B$6-$B$10*K$15/'Solares Dargebot'!K36-$B$11*K$15/'Solares Dargebot'!K36^2)*'Solares Dargebot'!K$8*'Solares Dargebot'!K$7/1000</f>
        <v>87.162104165393615</v>
      </c>
      <c r="L24" s="32">
        <f>'Solares Dargebot'!L36*($B$6-$B$10*L$15/'Solares Dargebot'!L36-$B$11*L$15/'Solares Dargebot'!L36^2)*'Solares Dargebot'!L$8*'Solares Dargebot'!L$7/1000</f>
        <v>70.740752483224639</v>
      </c>
      <c r="M24" s="32">
        <f>'Solares Dargebot'!M36*($B$6-$B$10*M$15/'Solares Dargebot'!M36-$B$11*M$15/'Solares Dargebot'!M36^2)*'Solares Dargebot'!M$8*'Solares Dargebot'!M$7/1000</f>
        <v>39.305353406203416</v>
      </c>
      <c r="N24" s="32">
        <f>'Solares Dargebot'!N36*($B$6-$B$10*N$15/'Solares Dargebot'!N36-$B$11*N$15/'Solares Dargebot'!N36^2)*'Solares Dargebot'!N$8*'Solares Dargebot'!N$7/1000</f>
        <v>29.780509268716795</v>
      </c>
      <c r="O24" s="39">
        <f t="shared" si="1"/>
        <v>897.35204366516052</v>
      </c>
    </row>
    <row r="25" spans="1:15" ht="15.75" thickBot="1" x14ac:dyDescent="0.3">
      <c r="A25" s="50"/>
      <c r="B25" s="14">
        <v>65</v>
      </c>
      <c r="C25" s="32">
        <f>'Solares Dargebot'!C37*($B$6-$B$10*C$15/'Solares Dargebot'!C37-$B$11*C$15/'Solares Dargebot'!C37^2)*'Solares Dargebot'!C$8*'Solares Dargebot'!C$7/1000</f>
        <v>39.282942953275047</v>
      </c>
      <c r="D25" s="32">
        <f>'Solares Dargebot'!D37*($B$6-$B$10*D$15/'Solares Dargebot'!D37-$B$11*D$15/'Solares Dargebot'!D37^2)*'Solares Dargebot'!D$8*'Solares Dargebot'!D$7/1000</f>
        <v>54.057850545467772</v>
      </c>
      <c r="E25" s="32">
        <f>'Solares Dargebot'!E37*($B$6-$B$10*E$15/'Solares Dargebot'!E37-$B$11*E$15/'Solares Dargebot'!E37^2)*'Solares Dargebot'!E$8*'Solares Dargebot'!E$7/1000</f>
        <v>74.791193366884684</v>
      </c>
      <c r="F25" s="32">
        <f>'Solares Dargebot'!F37*($B$6-$B$10*F$15/'Solares Dargebot'!F37-$B$11*F$15/'Solares Dargebot'!F37^2)*'Solares Dargebot'!F$8*'Solares Dargebot'!F$7/1000</f>
        <v>91.861619337231133</v>
      </c>
      <c r="G25" s="32">
        <f>'Solares Dargebot'!G37*($B$6-$B$10*G$15/'Solares Dargebot'!G37-$B$11*G$15/'Solares Dargebot'!G37^2)*'Solares Dargebot'!G$8*'Solares Dargebot'!G$7/1000</f>
        <v>94.954394461450164</v>
      </c>
      <c r="H25" s="32">
        <f>'Solares Dargebot'!H37*($B$6-$B$10*H$15/'Solares Dargebot'!H37-$B$11*H$15/'Solares Dargebot'!H37^2)*'Solares Dargebot'!H$8*'Solares Dargebot'!H$7/1000</f>
        <v>89.268051804799057</v>
      </c>
      <c r="I25" s="32">
        <f>'Solares Dargebot'!I37*($B$6-$B$10*I$15/'Solares Dargebot'!I37-$B$11*I$15/'Solares Dargebot'!I37^2)*'Solares Dargebot'!I$8*'Solares Dargebot'!I$7/1000</f>
        <v>96.294555935599803</v>
      </c>
      <c r="J25" s="32">
        <f>'Solares Dargebot'!J37*($B$6-$B$10*J$15/'Solares Dargebot'!J37-$B$11*J$15/'Solares Dargebot'!J37^2)*'Solares Dargebot'!J$8*'Solares Dargebot'!J$7/1000</f>
        <v>98.928686472520852</v>
      </c>
      <c r="K25" s="32">
        <f>'Solares Dargebot'!K37*($B$6-$B$10*K$15/'Solares Dargebot'!K37-$B$11*K$15/'Solares Dargebot'!K37^2)*'Solares Dargebot'!K$8*'Solares Dargebot'!K$7/1000</f>
        <v>84.742102123094426</v>
      </c>
      <c r="L25" s="32">
        <f>'Solares Dargebot'!L37*($B$6-$B$10*L$15/'Solares Dargebot'!L37-$B$11*L$15/'Solares Dargebot'!L37^2)*'Solares Dargebot'!L$8*'Solares Dargebot'!L$7/1000</f>
        <v>70.354839390348559</v>
      </c>
      <c r="M25" s="32">
        <f>'Solares Dargebot'!M37*($B$6-$B$10*M$15/'Solares Dargebot'!M37-$B$11*M$15/'Solares Dargebot'!M37^2)*'Solares Dargebot'!M$8*'Solares Dargebot'!M$7/1000</f>
        <v>39.858052646067492</v>
      </c>
      <c r="N25" s="32">
        <f>'Solares Dargebot'!N37*($B$6-$B$10*N$15/'Solares Dargebot'!N37-$B$11*N$15/'Solares Dargebot'!N37^2)*'Solares Dargebot'!N$8*'Solares Dargebot'!N$7/1000</f>
        <v>30.545252914000088</v>
      </c>
      <c r="O25" s="39">
        <f t="shared" si="1"/>
        <v>864.93954195073911</v>
      </c>
    </row>
    <row r="26" spans="1:15" ht="15.75" thickBot="1" x14ac:dyDescent="0.3">
      <c r="A26" s="50"/>
      <c r="B26" s="14">
        <v>70</v>
      </c>
      <c r="C26" s="32">
        <f>'Solares Dargebot'!C38*($B$6-$B$10*C$15/'Solares Dargebot'!C38-$B$11*C$15/'Solares Dargebot'!C38^2)*'Solares Dargebot'!C$8*'Solares Dargebot'!C$7/1000</f>
        <v>39.588752325582632</v>
      </c>
      <c r="D26" s="32">
        <f>'Solares Dargebot'!D38*($B$6-$B$10*D$15/'Solares Dargebot'!D38-$B$11*D$15/'Solares Dargebot'!D38^2)*'Solares Dargebot'!D$8*'Solares Dargebot'!D$7/1000</f>
        <v>53.618974875784644</v>
      </c>
      <c r="E26" s="32">
        <f>'Solares Dargebot'!E38*($B$6-$B$10*E$15/'Solares Dargebot'!E38-$B$11*E$15/'Solares Dargebot'!E38^2)*'Solares Dargebot'!E$8*'Solares Dargebot'!E$7/1000</f>
        <v>72.560953687025844</v>
      </c>
      <c r="F26" s="32">
        <f>'Solares Dargebot'!F38*($B$6-$B$10*F$15/'Solares Dargebot'!F38-$B$11*F$15/'Solares Dargebot'!F38^2)*'Solares Dargebot'!F$8*'Solares Dargebot'!F$7/1000</f>
        <v>86.975194935600769</v>
      </c>
      <c r="G26" s="32">
        <f>'Solares Dargebot'!G38*($B$6-$B$10*G$15/'Solares Dargebot'!G38-$B$11*G$15/'Solares Dargebot'!G38^2)*'Solares Dargebot'!G$8*'Solares Dargebot'!G$7/1000</f>
        <v>87.530143304384993</v>
      </c>
      <c r="H26" s="32">
        <f>'Solares Dargebot'!H38*($B$6-$B$10*H$15/'Solares Dargebot'!H38-$B$11*H$15/'Solares Dargebot'!H38^2)*'Solares Dargebot'!H$8*'Solares Dargebot'!H$7/1000</f>
        <v>81.127242807073614</v>
      </c>
      <c r="I26" s="32">
        <f>'Solares Dargebot'!I38*($B$6-$B$10*I$15/'Solares Dargebot'!I38-$B$11*I$15/'Solares Dargebot'!I38^2)*'Solares Dargebot'!I$8*'Solares Dargebot'!I$7/1000</f>
        <v>88.230700654927247</v>
      </c>
      <c r="J26" s="32">
        <f>'Solares Dargebot'!J38*($B$6-$B$10*J$15/'Solares Dargebot'!J38-$B$11*J$15/'Solares Dargebot'!J38^2)*'Solares Dargebot'!J$8*'Solares Dargebot'!J$7/1000</f>
        <v>92.769337124298559</v>
      </c>
      <c r="K26" s="32">
        <f>'Solares Dargebot'!K38*($B$6-$B$10*K$15/'Solares Dargebot'!K38-$B$11*K$15/'Solares Dargebot'!K38^2)*'Solares Dargebot'!K$8*'Solares Dargebot'!K$7/1000</f>
        <v>81.536216488609</v>
      </c>
      <c r="L26" s="32">
        <f>'Solares Dargebot'!L38*($B$6-$B$10*L$15/'Solares Dargebot'!L38-$B$11*L$15/'Solares Dargebot'!L38^2)*'Solares Dargebot'!L$8*'Solares Dargebot'!L$7/1000</f>
        <v>69.296384209472592</v>
      </c>
      <c r="M26" s="32">
        <f>'Solares Dargebot'!M38*($B$6-$B$10*M$15/'Solares Dargebot'!M38-$B$11*M$15/'Solares Dargebot'!M38^2)*'Solares Dargebot'!M$8*'Solares Dargebot'!M$7/1000</f>
        <v>39.986370262439515</v>
      </c>
      <c r="N26" s="32">
        <f>'Solares Dargebot'!N38*($B$6-$B$10*N$15/'Solares Dargebot'!N38-$B$11*N$15/'Solares Dargebot'!N38^2)*'Solares Dargebot'!N$8*'Solares Dargebot'!N$7/1000</f>
        <v>30.954823639113691</v>
      </c>
      <c r="O26" s="39">
        <f t="shared" si="1"/>
        <v>824.17509431431301</v>
      </c>
    </row>
    <row r="27" spans="1:15" ht="15.75" thickBot="1" x14ac:dyDescent="0.3">
      <c r="A27" s="51"/>
      <c r="B27" s="16">
        <v>75</v>
      </c>
      <c r="C27" s="32">
        <f>'Solares Dargebot'!C39*($B$6-$B$10*C$15/'Solares Dargebot'!C39-$B$11*C$15/'Solares Dargebot'!C39^2)*'Solares Dargebot'!C$8*'Solares Dargebot'!C$7/1000</f>
        <v>39.463011140885094</v>
      </c>
      <c r="D27" s="32">
        <f>'Solares Dargebot'!D39*($B$6-$B$10*D$15/'Solares Dargebot'!D39-$B$11*D$15/'Solares Dargebot'!D39^2)*'Solares Dargebot'!D$8*'Solares Dargebot'!D$7/1000</f>
        <v>52.637523075956203</v>
      </c>
      <c r="E27" s="32">
        <f>'Solares Dargebot'!E39*($B$6-$B$10*E$15/'Solares Dargebot'!E39-$B$11*E$15/'Solares Dargebot'!E39^2)*'Solares Dargebot'!E$8*'Solares Dargebot'!E$7/1000</f>
        <v>69.614862910647545</v>
      </c>
      <c r="F27" s="32">
        <f>'Solares Dargebot'!F39*($B$6-$B$10*F$15/'Solares Dargebot'!F39-$B$11*F$15/'Solares Dargebot'!F39^2)*'Solares Dargebot'!F$8*'Solares Dargebot'!F$7/1000</f>
        <v>81.273502449640191</v>
      </c>
      <c r="G27" s="32">
        <f>'Solares Dargebot'!G39*($B$6-$B$10*G$15/'Solares Dargebot'!G39-$B$11*G$15/'Solares Dargebot'!G39^2)*'Solares Dargebot'!G$8*'Solares Dargebot'!G$7/1000</f>
        <v>79.261334977463875</v>
      </c>
      <c r="H27" s="32">
        <f>'Solares Dargebot'!H39*($B$6-$B$10*H$15/'Solares Dargebot'!H39-$B$11*H$15/'Solares Dargebot'!H39^2)*'Solares Dargebot'!H$8*'Solares Dargebot'!H$7/1000</f>
        <v>72.19988428730089</v>
      </c>
      <c r="I27" s="32">
        <f>'Solares Dargebot'!I39*($B$6-$B$10*I$15/'Solares Dargebot'!I39-$B$11*I$15/'Solares Dargebot'!I39^2)*'Solares Dargebot'!I$8*'Solares Dargebot'!I$7/1000</f>
        <v>79.331984372372929</v>
      </c>
      <c r="J27" s="32">
        <f>'Solares Dargebot'!J39*($B$6-$B$10*J$15/'Solares Dargebot'!J39-$B$11*J$15/'Solares Dargebot'!J39^2)*'Solares Dargebot'!J$8*'Solares Dargebot'!J$7/1000</f>
        <v>85.749106573213169</v>
      </c>
      <c r="K27" s="32">
        <f>'Solares Dargebot'!K39*($B$6-$B$10*K$15/'Solares Dargebot'!K39-$B$11*K$15/'Solares Dargebot'!K39^2)*'Solares Dargebot'!K$8*'Solares Dargebot'!K$7/1000</f>
        <v>77.568845424736438</v>
      </c>
      <c r="L27" s="32">
        <f>'Solares Dargebot'!L39*($B$6-$B$10*L$15/'Solares Dargebot'!L39-$B$11*L$15/'Solares Dargebot'!L39^2)*'Solares Dargebot'!L$8*'Solares Dargebot'!L$7/1000</f>
        <v>67.573442229765462</v>
      </c>
      <c r="M27" s="32">
        <f>'Solares Dargebot'!M39*($B$6-$B$10*M$15/'Solares Dargebot'!M39-$B$11*M$15/'Solares Dargebot'!M39^2)*'Solares Dargebot'!M$8*'Solares Dargebot'!M$7/1000</f>
        <v>39.689329721753381</v>
      </c>
      <c r="N27" s="32">
        <f>'Solares Dargebot'!N39*($B$6-$B$10*N$15/'Solares Dargebot'!N39-$B$11*N$15/'Solares Dargebot'!N39^2)*'Solares Dargebot'!N$8*'Solares Dargebot'!N$7/1000</f>
        <v>31.006104544291393</v>
      </c>
      <c r="O27" s="43">
        <f t="shared" si="1"/>
        <v>775.36893170802648</v>
      </c>
    </row>
  </sheetData>
  <mergeCells count="4">
    <mergeCell ref="A16:A27"/>
    <mergeCell ref="A1:B1"/>
    <mergeCell ref="A13:B13"/>
    <mergeCell ref="A14:B14"/>
  </mergeCells>
  <conditionalFormatting sqref="C16:N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33CA-7FDD-4FD0-95D1-1FAED2B28F2A}">
  <dimension ref="A1:O27"/>
  <sheetViews>
    <sheetView topLeftCell="A4" workbookViewId="0">
      <selection activeCell="C16" sqref="C16"/>
    </sheetView>
  </sheetViews>
  <sheetFormatPr baseColWidth="10" defaultRowHeight="15" x14ac:dyDescent="0.25"/>
  <cols>
    <col min="1" max="1" width="35" customWidth="1"/>
    <col min="2" max="2" width="28.140625" customWidth="1"/>
    <col min="3" max="3" width="14.42578125" bestFit="1" customWidth="1"/>
    <col min="4" max="14" width="7.5703125" bestFit="1" customWidth="1"/>
    <col min="15" max="15" width="11.28515625" bestFit="1" customWidth="1"/>
  </cols>
  <sheetData>
    <row r="1" spans="1:15" x14ac:dyDescent="0.25">
      <c r="A1" s="53" t="s">
        <v>62</v>
      </c>
      <c r="B1" s="53"/>
    </row>
    <row r="2" spans="1:15" x14ac:dyDescent="0.25">
      <c r="A2" t="s">
        <v>60</v>
      </c>
      <c r="B2">
        <v>60</v>
      </c>
    </row>
    <row r="3" spans="1:15" ht="15.75" thickBot="1" x14ac:dyDescent="0.3">
      <c r="A3" s="47"/>
    </row>
    <row r="4" spans="1:15" x14ac:dyDescent="0.25">
      <c r="A4" s="21" t="s">
        <v>3</v>
      </c>
      <c r="B4" s="19" t="s">
        <v>15</v>
      </c>
      <c r="C4" s="19"/>
    </row>
    <row r="5" spans="1:15" ht="15.75" thickBot="1" x14ac:dyDescent="0.3">
      <c r="A5" s="23" t="s">
        <v>4</v>
      </c>
      <c r="B5" s="17" t="s">
        <v>16</v>
      </c>
      <c r="C5" s="17"/>
    </row>
    <row r="6" spans="1:15" x14ac:dyDescent="0.25">
      <c r="A6" s="22" t="s">
        <v>54</v>
      </c>
      <c r="B6" s="15">
        <v>0.81799999999999995</v>
      </c>
      <c r="C6" s="15"/>
    </row>
    <row r="7" spans="1:15" x14ac:dyDescent="0.25">
      <c r="A7" s="22" t="s">
        <v>55</v>
      </c>
      <c r="B7" s="15">
        <v>2.5099999999999998</v>
      </c>
      <c r="C7" s="15"/>
    </row>
    <row r="8" spans="1:15" x14ac:dyDescent="0.25">
      <c r="A8" s="22" t="s">
        <v>56</v>
      </c>
      <c r="B8" s="15">
        <v>2.3199999999999998</v>
      </c>
      <c r="C8" s="15"/>
    </row>
    <row r="9" spans="1:15" x14ac:dyDescent="0.25">
      <c r="A9" s="22" t="s">
        <v>57</v>
      </c>
      <c r="B9" s="15">
        <v>510</v>
      </c>
      <c r="C9" s="15"/>
    </row>
    <row r="10" spans="1:15" x14ac:dyDescent="0.25">
      <c r="A10" s="22" t="s">
        <v>58</v>
      </c>
      <c r="B10" s="15">
        <v>3.5379999999999998</v>
      </c>
      <c r="C10" s="15"/>
    </row>
    <row r="11" spans="1:15" ht="15.75" thickBot="1" x14ac:dyDescent="0.3">
      <c r="A11" s="23" t="s">
        <v>59</v>
      </c>
      <c r="B11" s="17">
        <v>2.3E-2</v>
      </c>
      <c r="C11" s="17"/>
    </row>
    <row r="12" spans="1:15" ht="15.75" thickBot="1" x14ac:dyDescent="0.3"/>
    <row r="13" spans="1:15" ht="45.75" thickBot="1" x14ac:dyDescent="0.3">
      <c r="A13" s="54" t="s">
        <v>46</v>
      </c>
      <c r="B13" s="55"/>
      <c r="C13" s="20" t="s">
        <v>32</v>
      </c>
      <c r="D13" s="20" t="s">
        <v>33</v>
      </c>
      <c r="E13" s="20" t="s">
        <v>34</v>
      </c>
      <c r="F13" s="20" t="s">
        <v>35</v>
      </c>
      <c r="G13" s="20" t="s">
        <v>36</v>
      </c>
      <c r="H13" s="20" t="s">
        <v>37</v>
      </c>
      <c r="I13" s="20" t="s">
        <v>38</v>
      </c>
      <c r="J13" s="20" t="s">
        <v>39</v>
      </c>
      <c r="K13" s="20" t="s">
        <v>40</v>
      </c>
      <c r="L13" s="20" t="s">
        <v>41</v>
      </c>
      <c r="M13" s="20" t="s">
        <v>42</v>
      </c>
      <c r="N13" s="20" t="s">
        <v>43</v>
      </c>
      <c r="O13" s="24" t="s">
        <v>51</v>
      </c>
    </row>
    <row r="14" spans="1:15" x14ac:dyDescent="0.25">
      <c r="A14" s="56" t="s">
        <v>53</v>
      </c>
      <c r="B14" s="58"/>
      <c r="C14" s="21">
        <v>1.8</v>
      </c>
      <c r="D14" s="18">
        <v>2.2000000000000002</v>
      </c>
      <c r="E14" s="18">
        <v>5.8</v>
      </c>
      <c r="F14" s="18">
        <v>10.9</v>
      </c>
      <c r="G14" s="18">
        <v>14.3</v>
      </c>
      <c r="H14" s="18">
        <v>17.5</v>
      </c>
      <c r="I14" s="18">
        <v>19.5</v>
      </c>
      <c r="J14" s="18">
        <v>17.8</v>
      </c>
      <c r="K14" s="18">
        <v>14.5</v>
      </c>
      <c r="L14" s="18">
        <v>10.3</v>
      </c>
      <c r="M14" s="18">
        <v>6</v>
      </c>
      <c r="N14" s="19">
        <v>2.5</v>
      </c>
      <c r="O14" s="25"/>
    </row>
    <row r="15" spans="1:15" ht="15.75" thickBot="1" x14ac:dyDescent="0.3">
      <c r="A15" s="44"/>
      <c r="B15" s="45" t="s">
        <v>61</v>
      </c>
      <c r="C15" s="23">
        <f>$B$2-C14</f>
        <v>58.2</v>
      </c>
      <c r="D15" s="16">
        <f t="shared" ref="D15:N15" si="0">$B$2-D14</f>
        <v>57.8</v>
      </c>
      <c r="E15" s="16">
        <f t="shared" si="0"/>
        <v>54.2</v>
      </c>
      <c r="F15" s="16">
        <f t="shared" si="0"/>
        <v>49.1</v>
      </c>
      <c r="G15" s="16">
        <f t="shared" si="0"/>
        <v>45.7</v>
      </c>
      <c r="H15" s="16">
        <f t="shared" si="0"/>
        <v>42.5</v>
      </c>
      <c r="I15" s="16">
        <f t="shared" si="0"/>
        <v>40.5</v>
      </c>
      <c r="J15" s="16">
        <f t="shared" si="0"/>
        <v>42.2</v>
      </c>
      <c r="K15" s="16">
        <f t="shared" si="0"/>
        <v>45.5</v>
      </c>
      <c r="L15" s="16">
        <f t="shared" si="0"/>
        <v>49.7</v>
      </c>
      <c r="M15" s="16">
        <f t="shared" si="0"/>
        <v>54</v>
      </c>
      <c r="N15" s="17">
        <f t="shared" si="0"/>
        <v>57.5</v>
      </c>
      <c r="O15" s="25"/>
    </row>
    <row r="16" spans="1:15" ht="15.75" thickBot="1" x14ac:dyDescent="0.3">
      <c r="A16" s="49" t="s">
        <v>49</v>
      </c>
      <c r="B16" s="18">
        <v>20</v>
      </c>
      <c r="C16" s="32">
        <f>'Solares Dargebot'!C28*($B$6-$B$10*C$15/'Solares Dargebot'!C28-$B$11*C$15/'Solares Dargebot'!C28^2)*'Solares Dargebot'!C$8*'Solares Dargebot'!C$7/1000</f>
        <v>-18.484473806223967</v>
      </c>
      <c r="D16" s="32">
        <f>'Solares Dargebot'!D28*($B$6-$B$10*D$15/'Solares Dargebot'!D28-$B$11*D$15/'Solares Dargebot'!D28^2)*'Solares Dargebot'!D$8*'Solares Dargebot'!D$7/1000</f>
        <v>-3.5155958238786909</v>
      </c>
      <c r="E16" s="32">
        <f>'Solares Dargebot'!E28*($B$6-$B$10*E$15/'Solares Dargebot'!E28-$B$11*E$15/'Solares Dargebot'!E28^2)*'Solares Dargebot'!E$8*'Solares Dargebot'!E$7/1000</f>
        <v>16.016001468788197</v>
      </c>
      <c r="F16" s="32">
        <f>'Solares Dargebot'!F28*($B$6-$B$10*F$15/'Solares Dargebot'!F28-$B$11*F$15/'Solares Dargebot'!F28^2)*'Solares Dargebot'!F$8*'Solares Dargebot'!F$7/1000</f>
        <v>53.213614183773757</v>
      </c>
      <c r="G16" s="32">
        <f>'Solares Dargebot'!G28*($B$6-$B$10*G$15/'Solares Dargebot'!G28-$B$11*G$15/'Solares Dargebot'!G28^2)*'Solares Dargebot'!G$8*'Solares Dargebot'!G$7/1000</f>
        <v>68.087876356354158</v>
      </c>
      <c r="H16" s="32">
        <f>'Solares Dargebot'!H28*($B$6-$B$10*H$15/'Solares Dargebot'!H28-$B$11*H$15/'Solares Dargebot'!H28^2)*'Solares Dargebot'!H$8*'Solares Dargebot'!H$7/1000</f>
        <v>73.167076306765438</v>
      </c>
      <c r="I16" s="32">
        <f>'Solares Dargebot'!I28*($B$6-$B$10*I$15/'Solares Dargebot'!I28-$B$11*I$15/'Solares Dargebot'!I28^2)*'Solares Dargebot'!I$8*'Solares Dargebot'!I$7/1000</f>
        <v>79.283028386055875</v>
      </c>
      <c r="J16" s="32">
        <f>'Solares Dargebot'!J28*($B$6-$B$10*J$15/'Solares Dargebot'!J28-$B$11*J$15/'Solares Dargebot'!J28^2)*'Solares Dargebot'!J$8*'Solares Dargebot'!J$7/1000</f>
        <v>68.139668401430939</v>
      </c>
      <c r="K16" s="32">
        <f>'Solares Dargebot'!K28*($B$6-$B$10*K$15/'Solares Dargebot'!K28-$B$11*K$15/'Solares Dargebot'!K28^2)*'Solares Dargebot'!K$8*'Solares Dargebot'!K$7/1000</f>
        <v>38.470051516512491</v>
      </c>
      <c r="L16" s="32">
        <f>'Solares Dargebot'!L28*($B$6-$B$10*L$15/'Solares Dargebot'!L28-$B$11*L$15/'Solares Dargebot'!L28^2)*'Solares Dargebot'!L$8*'Solares Dargebot'!L$7/1000</f>
        <v>12.01380489534187</v>
      </c>
      <c r="M16" s="32">
        <f>'Solares Dargebot'!M28*($B$6-$B$10*M$15/'Solares Dargebot'!M28-$B$11*M$15/'Solares Dargebot'!M28^2)*'Solares Dargebot'!M$8*'Solares Dargebot'!M$7/1000</f>
        <v>-13.567865394946976</v>
      </c>
      <c r="N16" s="32">
        <f>'Solares Dargebot'!N28*($B$6-$B$10*N$15/'Solares Dargebot'!N28-$B$11*N$15/'Solares Dargebot'!N28^2)*'Solares Dargebot'!N$8*'Solares Dargebot'!N$7/1000</f>
        <v>-22.880944516584456</v>
      </c>
      <c r="O16" s="35">
        <f>SUM(C16:N16)</f>
        <v>349.94224197338866</v>
      </c>
    </row>
    <row r="17" spans="1:15" ht="15.75" thickBot="1" x14ac:dyDescent="0.3">
      <c r="A17" s="50"/>
      <c r="B17" s="14">
        <v>25</v>
      </c>
      <c r="C17" s="32">
        <f>'Solares Dargebot'!C29*($B$6-$B$10*C$15/'Solares Dargebot'!C29-$B$11*C$15/'Solares Dargebot'!C29^2)*'Solares Dargebot'!C$8*'Solares Dargebot'!C$7/1000</f>
        <v>-14.697573761372754</v>
      </c>
      <c r="D17" s="32">
        <f>'Solares Dargebot'!D29*($B$6-$B$10*D$15/'Solares Dargebot'!D29-$B$11*D$15/'Solares Dargebot'!D29^2)*'Solares Dargebot'!D$8*'Solares Dargebot'!D$7/1000</f>
        <v>0.67683845970096412</v>
      </c>
      <c r="E17" s="32">
        <f>'Solares Dargebot'!E29*($B$6-$B$10*E$15/'Solares Dargebot'!E29-$B$11*E$15/'Solares Dargebot'!E29^2)*'Solares Dargebot'!E$8*'Solares Dargebot'!E$7/1000</f>
        <v>20.406942819389965</v>
      </c>
      <c r="F17" s="32">
        <f>'Solares Dargebot'!F29*($B$6-$B$10*F$15/'Solares Dargebot'!F29-$B$11*F$15/'Solares Dargebot'!F29^2)*'Solares Dargebot'!F$8*'Solares Dargebot'!F$7/1000</f>
        <v>56.593887099568022</v>
      </c>
      <c r="G17" s="32">
        <f>'Solares Dargebot'!G29*($B$6-$B$10*G$15/'Solares Dargebot'!G29-$B$11*G$15/'Solares Dargebot'!G29^2)*'Solares Dargebot'!G$8*'Solares Dargebot'!G$7/1000</f>
        <v>69.958192546025117</v>
      </c>
      <c r="H17" s="32">
        <f>'Solares Dargebot'!H29*($B$6-$B$10*H$15/'Solares Dargebot'!H29-$B$11*H$15/'Solares Dargebot'!H29^2)*'Solares Dargebot'!H$8*'Solares Dargebot'!H$7/1000</f>
        <v>74.061911994879779</v>
      </c>
      <c r="I17" s="32">
        <f>'Solares Dargebot'!I29*($B$6-$B$10*I$15/'Solares Dargebot'!I29-$B$11*I$15/'Solares Dargebot'!I29^2)*'Solares Dargebot'!I$8*'Solares Dargebot'!I$7/1000</f>
        <v>80.631297260596952</v>
      </c>
      <c r="J17" s="32">
        <f>'Solares Dargebot'!J29*($B$6-$B$10*J$15/'Solares Dargebot'!J29-$B$11*J$15/'Solares Dargebot'!J29^2)*'Solares Dargebot'!J$8*'Solares Dargebot'!J$7/1000</f>
        <v>71.018783366004797</v>
      </c>
      <c r="K17" s="32">
        <f>'Solares Dargebot'!K29*($B$6-$B$10*K$15/'Solares Dargebot'!K29-$B$11*K$15/'Solares Dargebot'!K29^2)*'Solares Dargebot'!K$8*'Solares Dargebot'!K$7/1000</f>
        <v>42.565295680894124</v>
      </c>
      <c r="L17" s="32">
        <f>'Solares Dargebot'!L29*($B$6-$B$10*L$15/'Solares Dargebot'!L29-$B$11*L$15/'Solares Dargebot'!L29^2)*'Solares Dargebot'!L$8*'Solares Dargebot'!L$7/1000</f>
        <v>16.788414940022381</v>
      </c>
      <c r="M17" s="32">
        <f>'Solares Dargebot'!M29*($B$6-$B$10*M$15/'Solares Dargebot'!M29-$B$11*M$15/'Solares Dargebot'!M29^2)*'Solares Dargebot'!M$8*'Solares Dargebot'!M$7/1000</f>
        <v>-9.954873477969711</v>
      </c>
      <c r="N17" s="32">
        <f>'Solares Dargebot'!N29*($B$6-$B$10*N$15/'Solares Dargebot'!N29-$B$11*N$15/'Solares Dargebot'!N29^2)*'Solares Dargebot'!N$8*'Solares Dargebot'!N$7/1000</f>
        <v>-19.629336781797377</v>
      </c>
      <c r="O17" s="39">
        <f t="shared" ref="O17:O27" si="1">SUM(C17:N17)</f>
        <v>388.41978014594224</v>
      </c>
    </row>
    <row r="18" spans="1:15" ht="15.75" thickBot="1" x14ac:dyDescent="0.3">
      <c r="A18" s="50"/>
      <c r="B18" s="14">
        <v>30</v>
      </c>
      <c r="C18" s="32">
        <f>'Solares Dargebot'!C30*($B$6-$B$10*C$15/'Solares Dargebot'!C30-$B$11*C$15/'Solares Dargebot'!C30^2)*'Solares Dargebot'!C$8*'Solares Dargebot'!C$7/1000</f>
        <v>-11.216670048750876</v>
      </c>
      <c r="D18" s="32">
        <f>'Solares Dargebot'!D30*($B$6-$B$10*D$15/'Solares Dargebot'!D30-$B$11*D$15/'Solares Dargebot'!D30^2)*'Solares Dargebot'!D$8*'Solares Dargebot'!D$7/1000</f>
        <v>4.4326674207640124</v>
      </c>
      <c r="E18" s="32">
        <f>'Solares Dargebot'!E30*($B$6-$B$10*E$15/'Solares Dargebot'!E30-$B$11*E$15/'Solares Dargebot'!E30^2)*'Solares Dargebot'!E$8*'Solares Dargebot'!E$7/1000</f>
        <v>24.117743843470173</v>
      </c>
      <c r="F18" s="32">
        <f>'Solares Dargebot'!F30*($B$6-$B$10*F$15/'Solares Dargebot'!F30-$B$11*F$15/'Solares Dargebot'!F30^2)*'Solares Dargebot'!F$8*'Solares Dargebot'!F$7/1000</f>
        <v>59.051614489017361</v>
      </c>
      <c r="G18" s="32">
        <f>'Solares Dargebot'!G30*($B$6-$B$10*G$15/'Solares Dargebot'!G30-$B$11*G$15/'Solares Dargebot'!G30^2)*'Solares Dargebot'!G$8*'Solares Dargebot'!G$7/1000</f>
        <v>70.723867216618316</v>
      </c>
      <c r="H18" s="32">
        <f>'Solares Dargebot'!H30*($B$6-$B$10*H$15/'Solares Dargebot'!H30-$B$11*H$15/'Solares Dargebot'!H30^2)*'Solares Dargebot'!H$8*'Solares Dargebot'!H$7/1000</f>
        <v>73.85064230631184</v>
      </c>
      <c r="I18" s="32">
        <f>'Solares Dargebot'!I30*($B$6-$B$10*I$15/'Solares Dargebot'!I30-$B$11*I$15/'Solares Dargebot'!I30^2)*'Solares Dargebot'!I$8*'Solares Dargebot'!I$7/1000</f>
        <v>80.841902417188948</v>
      </c>
      <c r="J18" s="32">
        <f>'Solares Dargebot'!J30*($B$6-$B$10*J$15/'Solares Dargebot'!J30-$B$11*J$15/'Solares Dargebot'!J30^2)*'Solares Dargebot'!J$8*'Solares Dargebot'!J$7/1000</f>
        <v>72.860712257980254</v>
      </c>
      <c r="K18" s="32">
        <f>'Solares Dargebot'!K30*($B$6-$B$10*K$15/'Solares Dargebot'!K30-$B$11*K$15/'Solares Dargebot'!K30^2)*'Solares Dargebot'!K$8*'Solares Dargebot'!K$7/1000</f>
        <v>45.884492362718476</v>
      </c>
      <c r="L18" s="32">
        <f>'Solares Dargebot'!L30*($B$6-$B$10*L$15/'Solares Dargebot'!L30-$B$11*L$15/'Solares Dargebot'!L30^2)*'Solares Dargebot'!L$8*'Solares Dargebot'!L$7/1000</f>
        <v>20.995479410870409</v>
      </c>
      <c r="M18" s="32">
        <f>'Solares Dargebot'!M30*($B$6-$B$10*M$15/'Solares Dargebot'!M30-$B$11*M$15/'Solares Dargebot'!M30^2)*'Solares Dargebot'!M$8*'Solares Dargebot'!M$7/1000</f>
        <v>-6.6543949681554917</v>
      </c>
      <c r="N18" s="32">
        <f>'Solares Dargebot'!N30*($B$6-$B$10*N$15/'Solares Dargebot'!N30-$B$11*N$15/'Solares Dargebot'!N30^2)*'Solares Dargebot'!N$8*'Solares Dargebot'!N$7/1000</f>
        <v>-16.621981995561335</v>
      </c>
      <c r="O18" s="39">
        <f t="shared" si="1"/>
        <v>418.26607471247206</v>
      </c>
    </row>
    <row r="19" spans="1:15" ht="15.75" thickBot="1" x14ac:dyDescent="0.3">
      <c r="A19" s="50"/>
      <c r="B19" s="14">
        <v>35</v>
      </c>
      <c r="C19" s="32">
        <f>'Solares Dargebot'!C31*($B$6-$B$10*C$15/'Solares Dargebot'!C31-$B$11*C$15/'Solares Dargebot'!C31^2)*'Solares Dargebot'!C$8*'Solares Dargebot'!C$7/1000</f>
        <v>-8.068240704554718</v>
      </c>
      <c r="D19" s="32">
        <f>'Solares Dargebot'!D31*($B$6-$B$10*D$15/'Solares Dargebot'!D31-$B$11*D$15/'Solares Dargebot'!D31^2)*'Solares Dargebot'!D$8*'Solares Dargebot'!D$7/1000</f>
        <v>7.7233132886572164</v>
      </c>
      <c r="E19" s="32">
        <f>'Solares Dargebot'!E31*($B$6-$B$10*E$15/'Solares Dargebot'!E31-$B$11*E$15/'Solares Dargebot'!E31^2)*'Solares Dargebot'!E$8*'Solares Dargebot'!E$7/1000</f>
        <v>27.120166415559275</v>
      </c>
      <c r="F19" s="32">
        <f>'Solares Dargebot'!F31*($B$6-$B$10*F$15/'Solares Dargebot'!F31-$B$11*F$15/'Solares Dargebot'!F31^2)*'Solares Dargebot'!F$8*'Solares Dargebot'!F$7/1000</f>
        <v>60.568092580180185</v>
      </c>
      <c r="G19" s="32">
        <f>'Solares Dargebot'!G31*($B$6-$B$10*G$15/'Solares Dargebot'!G31-$B$11*G$15/'Solares Dargebot'!G31^2)*'Solares Dargebot'!G$8*'Solares Dargebot'!G$7/1000</f>
        <v>70.379073432384615</v>
      </c>
      <c r="H19" s="32">
        <f>'Solares Dargebot'!H31*($B$6-$B$10*H$15/'Solares Dargebot'!H31-$B$11*H$15/'Solares Dargebot'!H31^2)*'Solares Dargebot'!H$8*'Solares Dargebot'!H$7/1000</f>
        <v>72.534875048029178</v>
      </c>
      <c r="I19" s="32">
        <f>'Solares Dargebot'!I31*($B$6-$B$10*I$15/'Solares Dargebot'!I31-$B$11*I$15/'Solares Dargebot'!I31^2)*'Solares Dargebot'!I$8*'Solares Dargebot'!I$7/1000</f>
        <v>79.913241099729035</v>
      </c>
      <c r="J19" s="32">
        <f>'Solares Dargebot'!J31*($B$6-$B$10*J$15/'Solares Dargebot'!J31-$B$11*J$15/'Solares Dargebot'!J31^2)*'Solares Dargebot'!J$8*'Solares Dargebot'!J$7/1000</f>
        <v>73.651437586623885</v>
      </c>
      <c r="K19" s="32">
        <f>'Solares Dargebot'!K31*($B$6-$B$10*K$15/'Solares Dargebot'!K31-$B$11*K$15/'Solares Dargebot'!K31^2)*'Solares Dargebot'!K$8*'Solares Dargebot'!K$7/1000</f>
        <v>48.402382359125347</v>
      </c>
      <c r="L19" s="32">
        <f>'Solares Dargebot'!L31*($B$6-$B$10*L$15/'Solares Dargebot'!L31-$B$11*L$15/'Solares Dargebot'!L31^2)*'Solares Dargebot'!L$8*'Solares Dargebot'!L$7/1000</f>
        <v>24.602984685672904</v>
      </c>
      <c r="M19" s="32">
        <f>'Solares Dargebot'!M31*($B$6-$B$10*M$15/'Solares Dargebot'!M31-$B$11*M$15/'Solares Dargebot'!M31^2)*'Solares Dargebot'!M$8*'Solares Dargebot'!M$7/1000</f>
        <v>-3.6915375687473806</v>
      </c>
      <c r="N19" s="32">
        <f>'Solares Dargebot'!N31*($B$6-$B$10*N$15/'Solares Dargebot'!N31-$B$11*N$15/'Solares Dargebot'!N31^2)*'Solares Dargebot'!N$8*'Solares Dargebot'!N$7/1000</f>
        <v>-13.881749973761957</v>
      </c>
      <c r="O19" s="39">
        <f t="shared" si="1"/>
        <v>439.25403824889759</v>
      </c>
    </row>
    <row r="20" spans="1:15" ht="15.75" thickBot="1" x14ac:dyDescent="0.3">
      <c r="A20" s="50"/>
      <c r="B20" s="14">
        <v>40</v>
      </c>
      <c r="C20" s="32">
        <f>'Solares Dargebot'!C32*($B$6-$B$10*C$15/'Solares Dargebot'!C32-$B$11*C$15/'Solares Dargebot'!C32^2)*'Solares Dargebot'!C$8*'Solares Dargebot'!C$7/1000</f>
        <v>-5.2762380554077675</v>
      </c>
      <c r="D20" s="32">
        <f>'Solares Dargebot'!D32*($B$6-$B$10*D$15/'Solares Dargebot'!D32-$B$11*D$15/'Solares Dargebot'!D32^2)*'Solares Dargebot'!D$8*'Solares Dargebot'!D$7/1000</f>
        <v>10.523736666668221</v>
      </c>
      <c r="E20" s="32">
        <f>'Solares Dargebot'!E32*($B$6-$B$10*E$15/'Solares Dargebot'!E32-$B$11*E$15/'Solares Dargebot'!E32^2)*'Solares Dargebot'!E$8*'Solares Dargebot'!E$7/1000</f>
        <v>29.39136260156689</v>
      </c>
      <c r="F20" s="32">
        <f>'Solares Dargebot'!F32*($B$6-$B$10*F$15/'Solares Dargebot'!F32-$B$11*F$15/'Solares Dargebot'!F32^2)*'Solares Dargebot'!F$8*'Solares Dargebot'!F$7/1000</f>
        <v>61.131780647405392</v>
      </c>
      <c r="G20" s="32">
        <f>'Solares Dargebot'!G32*($B$6-$B$10*G$15/'Solares Dargebot'!G32-$B$11*G$15/'Solares Dargebot'!G32^2)*'Solares Dargebot'!G$8*'Solares Dargebot'!G$7/1000</f>
        <v>68.92643514306161</v>
      </c>
      <c r="H20" s="32">
        <f>'Solares Dargebot'!H32*($B$6-$B$10*H$15/'Solares Dargebot'!H32-$B$11*H$15/'Solares Dargebot'!H32^2)*'Solares Dargebot'!H$8*'Solares Dargebot'!H$7/1000</f>
        <v>70.124623475752998</v>
      </c>
      <c r="I20" s="32">
        <f>'Solares Dargebot'!I32*($B$6-$B$10*I$15/'Solares Dargebot'!I32-$B$11*I$15/'Solares Dargebot'!I32^2)*'Solares Dargebot'!I$8*'Solares Dargebot'!I$7/1000</f>
        <v>77.852380641834003</v>
      </c>
      <c r="J20" s="32">
        <f>'Solares Dargebot'!J32*($B$6-$B$10*J$15/'Solares Dargebot'!J32-$B$11*J$15/'Solares Dargebot'!J32^2)*'Solares Dargebot'!J$8*'Solares Dargebot'!J$7/1000</f>
        <v>73.384941744000244</v>
      </c>
      <c r="K20" s="32">
        <f>'Solares Dargebot'!K32*($B$6-$B$10*K$15/'Solares Dargebot'!K32-$B$11*K$15/'Solares Dargebot'!K32^2)*'Solares Dargebot'!K$8*'Solares Dargebot'!K$7/1000</f>
        <v>50.099804287049544</v>
      </c>
      <c r="L20" s="32">
        <f>'Solares Dargebot'!L32*($B$6-$B$10*L$15/'Solares Dargebot'!L32-$B$11*L$15/'Solares Dargebot'!L32^2)*'Solares Dargebot'!L$8*'Solares Dargebot'!L$7/1000</f>
        <v>27.583478751234448</v>
      </c>
      <c r="M20" s="32">
        <f>'Solares Dargebot'!M32*($B$6-$B$10*M$15/'Solares Dargebot'!M32-$B$11*M$15/'Solares Dargebot'!M32^2)*'Solares Dargebot'!M$8*'Solares Dargebot'!M$7/1000</f>
        <v>-1.0888430533988831</v>
      </c>
      <c r="N20" s="32">
        <f>'Solares Dargebot'!N32*($B$6-$B$10*N$15/'Solares Dargebot'!N32-$B$11*N$15/'Solares Dargebot'!N32^2)*'Solares Dargebot'!N$8*'Solares Dargebot'!N$7/1000</f>
        <v>-11.429483816890425</v>
      </c>
      <c r="O20" s="39">
        <f t="shared" si="1"/>
        <v>451.22397903287629</v>
      </c>
    </row>
    <row r="21" spans="1:15" ht="15.75" thickBot="1" x14ac:dyDescent="0.3">
      <c r="A21" s="50"/>
      <c r="B21" s="14">
        <v>45</v>
      </c>
      <c r="C21" s="32">
        <f>'Solares Dargebot'!C33*($B$6-$B$10*C$15/'Solares Dargebot'!C33-$B$11*C$15/'Solares Dargebot'!C33^2)*'Solares Dargebot'!C$8*'Solares Dargebot'!C$7/1000</f>
        <v>-2.8619046780180177</v>
      </c>
      <c r="D21" s="32">
        <f>'Solares Dargebot'!D33*($B$6-$B$10*D$15/'Solares Dargebot'!D33-$B$11*D$15/'Solares Dargebot'!D33^2)*'Solares Dargebot'!D$8*'Solares Dargebot'!D$7/1000</f>
        <v>12.812627736346716</v>
      </c>
      <c r="E21" s="32">
        <f>'Solares Dargebot'!E33*($B$6-$B$10*E$15/'Solares Dargebot'!E33-$B$11*E$15/'Solares Dargebot'!E33^2)*'Solares Dargebot'!E$8*'Solares Dargebot'!E$7/1000</f>
        <v>30.91404879381901</v>
      </c>
      <c r="F21" s="32">
        <f>'Solares Dargebot'!F33*($B$6-$B$10*F$15/'Solares Dargebot'!F33-$B$11*F$15/'Solares Dargebot'!F33^2)*'Solares Dargebot'!F$8*'Solares Dargebot'!F$7/1000</f>
        <v>60.738388895582958</v>
      </c>
      <c r="G21" s="32">
        <f>'Solares Dargebot'!G33*($B$6-$B$10*G$15/'Solares Dargebot'!G33-$B$11*G$15/'Solares Dargebot'!G33^2)*'Solares Dargebot'!G$8*'Solares Dargebot'!G$7/1000</f>
        <v>66.37700720206881</v>
      </c>
      <c r="H21" s="32">
        <f>'Solares Dargebot'!H33*($B$6-$B$10*H$15/'Solares Dargebot'!H33-$B$11*H$15/'Solares Dargebot'!H33^2)*'Solares Dargebot'!H$8*'Solares Dargebot'!H$7/1000</f>
        <v>66.638230040812445</v>
      </c>
      <c r="I21" s="32">
        <f>'Solares Dargebot'!I33*($B$6-$B$10*I$15/'Solares Dargebot'!I33-$B$11*I$15/'Solares Dargebot'!I33^2)*'Solares Dargebot'!I$8*'Solares Dargebot'!I$7/1000</f>
        <v>74.675004650717071</v>
      </c>
      <c r="J21" s="32">
        <f>'Solares Dargebot'!J33*($B$6-$B$10*J$15/'Solares Dargebot'!J33-$B$11*J$15/'Solares Dargebot'!J33^2)*'Solares Dargebot'!J$8*'Solares Dargebot'!J$7/1000</f>
        <v>72.063252827636433</v>
      </c>
      <c r="K21" s="32">
        <f>'Solares Dargebot'!K33*($B$6-$B$10*K$15/'Solares Dargebot'!K33-$B$11*K$15/'Solares Dargebot'!K33^2)*'Solares Dargebot'!K$8*'Solares Dargebot'!K$7/1000</f>
        <v>50.963840538023781</v>
      </c>
      <c r="L21" s="32">
        <f>'Solares Dargebot'!L33*($B$6-$B$10*L$15/'Solares Dargebot'!L33-$B$11*L$15/'Solares Dargebot'!L33^2)*'Solares Dargebot'!L$8*'Solares Dargebot'!L$7/1000</f>
        <v>29.914280552512665</v>
      </c>
      <c r="M21" s="32">
        <f>'Solares Dargebot'!M33*($B$6-$B$10*M$15/'Solares Dargebot'!M33-$B$11*M$15/'Solares Dargebot'!M33^2)*'Solares Dargebot'!M$8*'Solares Dargebot'!M$7/1000</f>
        <v>1.1338855917551578</v>
      </c>
      <c r="N21" s="32">
        <f>'Solares Dargebot'!N33*($B$6-$B$10*N$15/'Solares Dargebot'!N33-$B$11*N$15/'Solares Dargebot'!N33^2)*'Solares Dargebot'!N$8*'Solares Dargebot'!N$7/1000</f>
        <v>-9.2838388199754025</v>
      </c>
      <c r="O21" s="39">
        <f t="shared" si="1"/>
        <v>454.08482333128154</v>
      </c>
    </row>
    <row r="22" spans="1:15" ht="15.75" thickBot="1" x14ac:dyDescent="0.3">
      <c r="A22" s="50"/>
      <c r="B22" s="14">
        <v>50</v>
      </c>
      <c r="C22" s="32">
        <f>'Solares Dargebot'!C34*($B$6-$B$10*C$15/'Solares Dargebot'!C34-$B$11*C$15/'Solares Dargebot'!C34^2)*'Solares Dargebot'!C$8*'Solares Dargebot'!C$7/1000</f>
        <v>-0.84361074021201765</v>
      </c>
      <c r="D22" s="32">
        <f>'Solares Dargebot'!D34*($B$6-$B$10*D$15/'Solares Dargebot'!D34-$B$11*D$15/'Solares Dargebot'!D34^2)*'Solares Dargebot'!D$8*'Solares Dargebot'!D$7/1000</f>
        <v>14.572568823874189</v>
      </c>
      <c r="E22" s="32">
        <f>'Solares Dargebot'!E34*($B$6-$B$10*E$15/'Solares Dargebot'!E34-$B$11*E$15/'Solares Dargebot'!E34^2)*'Solares Dargebot'!E$8*'Solares Dargebot'!E$7/1000</f>
        <v>31.676637402435997</v>
      </c>
      <c r="F22" s="32">
        <f>'Solares Dargebot'!F34*($B$6-$B$10*F$15/'Solares Dargebot'!F34-$B$11*F$15/'Solares Dargebot'!F34^2)*'Solares Dargebot'!F$8*'Solares Dargebot'!F$7/1000</f>
        <v>59.390911126318748</v>
      </c>
      <c r="G22" s="32">
        <f>'Solares Dargebot'!G34*($B$6-$B$10*G$15/'Solares Dargebot'!G34-$B$11*G$15/'Solares Dargebot'!G34^2)*'Solares Dargebot'!G$8*'Solares Dargebot'!G$7/1000</f>
        <v>62.750191179510558</v>
      </c>
      <c r="H22" s="32">
        <f>'Solares Dargebot'!H34*($B$6-$B$10*H$15/'Solares Dargebot'!H34-$B$11*H$15/'Solares Dargebot'!H34^2)*'Solares Dargebot'!H$8*'Solares Dargebot'!H$7/1000</f>
        <v>62.102226699398507</v>
      </c>
      <c r="I22" s="32">
        <f>'Solares Dargebot'!I34*($B$6-$B$10*I$15/'Solares Dargebot'!I34-$B$11*I$15/'Solares Dargebot'!I34^2)*'Solares Dargebot'!I$8*'Solares Dargebot'!I$7/1000</f>
        <v>70.405293574808766</v>
      </c>
      <c r="J22" s="32">
        <f>'Solares Dargebot'!J34*($B$6-$B$10*J$15/'Solares Dargebot'!J34-$B$11*J$15/'Solares Dargebot'!J34^2)*'Solares Dargebot'!J$8*'Solares Dargebot'!J$7/1000</f>
        <v>69.696429197161379</v>
      </c>
      <c r="K22" s="32">
        <f>'Solares Dargebot'!K34*($B$6-$B$10*K$15/'Solares Dargebot'!K34-$B$11*K$15/'Solares Dargebot'!K34^2)*'Solares Dargebot'!K$8*'Solares Dargebot'!K$7/1000</f>
        <v>50.987915661562141</v>
      </c>
      <c r="L22" s="32">
        <f>'Solares Dargebot'!L34*($B$6-$B$10*L$15/'Solares Dargebot'!L34-$B$11*L$15/'Solares Dargebot'!L34^2)*'Solares Dargebot'!L$8*'Solares Dargebot'!L$7/1000</f>
        <v>31.577652869150747</v>
      </c>
      <c r="M22" s="32">
        <f>'Solares Dargebot'!M34*($B$6-$B$10*M$15/'Solares Dargebot'!M34-$B$11*M$15/'Solares Dargebot'!M34^2)*'Solares Dargebot'!M$8*'Solares Dargebot'!M$7/1000</f>
        <v>2.9597356327031377</v>
      </c>
      <c r="N22" s="32">
        <f>'Solares Dargebot'!N34*($B$6-$B$10*N$15/'Solares Dargebot'!N34-$B$11*N$15/'Solares Dargebot'!N34^2)*'Solares Dargebot'!N$8*'Solares Dargebot'!N$7/1000</f>
        <v>-7.4611391339840774</v>
      </c>
      <c r="O22" s="39">
        <f t="shared" si="1"/>
        <v>447.81481229272805</v>
      </c>
    </row>
    <row r="23" spans="1:15" ht="15.75" thickBot="1" x14ac:dyDescent="0.3">
      <c r="A23" s="50"/>
      <c r="B23" s="14">
        <v>55</v>
      </c>
      <c r="C23" s="32">
        <f>'Solares Dargebot'!C35*($B$6-$B$10*C$15/'Solares Dargebot'!C35-$B$11*C$15/'Solares Dargebot'!C35^2)*'Solares Dargebot'!C$8*'Solares Dargebot'!C$7/1000</f>
        <v>0.76328639389498343</v>
      </c>
      <c r="D23" s="32">
        <f>'Solares Dargebot'!D35*($B$6-$B$10*D$15/'Solares Dargebot'!D35-$B$11*D$15/'Solares Dargebot'!D35^2)*'Solares Dargebot'!D$8*'Solares Dargebot'!D$7/1000</f>
        <v>15.790167197230344</v>
      </c>
      <c r="E23" s="32">
        <f>'Solares Dargebot'!E35*($B$6-$B$10*E$15/'Solares Dargebot'!E35-$B$11*E$15/'Solares Dargebot'!E35^2)*'Solares Dargebot'!E$8*'Solares Dargebot'!E$7/1000</f>
        <v>31.673325132157618</v>
      </c>
      <c r="F23" s="32">
        <f>'Solares Dargebot'!F35*($B$6-$B$10*F$15/'Solares Dargebot'!F35-$B$11*F$15/'Solares Dargebot'!F35^2)*'Solares Dargebot'!F$8*'Solares Dargebot'!F$7/1000</f>
        <v>57.099601940631629</v>
      </c>
      <c r="G23" s="32">
        <f>'Solares Dargebot'!G35*($B$6-$B$10*G$15/'Solares Dargebot'!G35-$B$11*G$15/'Solares Dargebot'!G35^2)*'Solares Dargebot'!G$8*'Solares Dargebot'!G$7/1000</f>
        <v>58.073587601160696</v>
      </c>
      <c r="H23" s="32">
        <f>'Solares Dargebot'!H35*($B$6-$B$10*H$15/'Solares Dargebot'!H35-$B$11*H$15/'Solares Dargebot'!H35^2)*'Solares Dargebot'!H$8*'Solares Dargebot'!H$7/1000</f>
        <v>56.551132829482647</v>
      </c>
      <c r="I23" s="32">
        <f>'Solares Dargebot'!I35*($B$6-$B$10*I$15/'Solares Dargebot'!I35-$B$11*I$15/'Solares Dargebot'!I35^2)*'Solares Dargebot'!I$8*'Solares Dargebot'!I$7/1000</f>
        <v>65.075740550952716</v>
      </c>
      <c r="J23" s="32">
        <f>'Solares Dargebot'!J35*($B$6-$B$10*J$15/'Solares Dargebot'!J35-$B$11*J$15/'Solares Dargebot'!J35^2)*'Solares Dargebot'!J$8*'Solares Dargebot'!J$7/1000</f>
        <v>66.302482880999719</v>
      </c>
      <c r="K23" s="32">
        <f>'Solares Dargebot'!K35*($B$6-$B$10*K$15/'Solares Dargebot'!K35-$B$11*K$15/'Solares Dargebot'!K35^2)*'Solares Dargebot'!K$8*'Solares Dargebot'!K$7/1000</f>
        <v>50.17184644204945</v>
      </c>
      <c r="L23" s="32">
        <f>'Solares Dargebot'!L35*($B$6-$B$10*L$15/'Solares Dargebot'!L35-$B$11*L$15/'Solares Dargebot'!L35^2)*'Solares Dargebot'!L$8*'Solares Dargebot'!L$7/1000</f>
        <v>32.560937467370124</v>
      </c>
      <c r="M23" s="32">
        <f>'Solares Dargebot'!M35*($B$6-$B$10*M$15/'Solares Dargebot'!M35-$B$11*M$15/'Solares Dargebot'!M35^2)*'Solares Dargebot'!M$8*'Solares Dargebot'!M$7/1000</f>
        <v>4.374813755819507</v>
      </c>
      <c r="N23" s="32">
        <f>'Solares Dargebot'!N35*($B$6-$B$10*N$15/'Solares Dargebot'!N35-$B$11*N$15/'Solares Dargebot'!N35^2)*'Solares Dargebot'!N$8*'Solares Dargebot'!N$7/1000</f>
        <v>-5.9752527373707434</v>
      </c>
      <c r="O23" s="39">
        <f t="shared" si="1"/>
        <v>432.46166945437869</v>
      </c>
    </row>
    <row r="24" spans="1:15" ht="15.75" thickBot="1" x14ac:dyDescent="0.3">
      <c r="A24" s="50"/>
      <c r="B24" s="14">
        <v>60</v>
      </c>
      <c r="C24" s="32">
        <f>'Solares Dargebot'!C36*($B$6-$B$10*C$15/'Solares Dargebot'!C36-$B$11*C$15/'Solares Dargebot'!C36^2)*'Solares Dargebot'!C$8*'Solares Dargebot'!C$7/1000</f>
        <v>1.9465594015053647</v>
      </c>
      <c r="D24" s="32">
        <f>'Solares Dargebot'!D36*($B$6-$B$10*D$15/'Solares Dargebot'!D36-$B$11*D$15/'Solares Dargebot'!D36^2)*'Solares Dargebot'!D$8*'Solares Dargebot'!D$7/1000</f>
        <v>16.456157139953014</v>
      </c>
      <c r="E24" s="32">
        <f>'Solares Dargebot'!E36*($B$6-$B$10*E$15/'Solares Dargebot'!E36-$B$11*E$15/'Solares Dargebot'!E36^2)*'Solares Dargebot'!E$8*'Solares Dargebot'!E$7/1000</f>
        <v>30.904137189373671</v>
      </c>
      <c r="F24" s="32">
        <f>'Solares Dargebot'!F36*($B$6-$B$10*F$15/'Solares Dargebot'!F36-$B$11*F$15/'Solares Dargebot'!F36^2)*'Solares Dargebot'!F$8*'Solares Dargebot'!F$7/1000</f>
        <v>53.881898649454982</v>
      </c>
      <c r="G24" s="32">
        <f>'Solares Dargebot'!G36*($B$6-$B$10*G$15/'Solares Dargebot'!G36-$B$11*G$15/'Solares Dargebot'!G36^2)*'Solares Dargebot'!G$8*'Solares Dargebot'!G$7/1000</f>
        <v>52.382785718063403</v>
      </c>
      <c r="H24" s="32">
        <f>'Solares Dargebot'!H36*($B$6-$B$10*H$15/'Solares Dargebot'!H36-$B$11*H$15/'Solares Dargebot'!H36^2)*'Solares Dargebot'!H$8*'Solares Dargebot'!H$7/1000</f>
        <v>50.027192260064616</v>
      </c>
      <c r="I24" s="32">
        <f>'Solares Dargebot'!I36*($B$6-$B$10*I$15/'Solares Dargebot'!I36-$B$11*I$15/'Solares Dargebot'!I36^2)*'Solares Dargebot'!I$8*'Solares Dargebot'!I$7/1000</f>
        <v>58.726903907482985</v>
      </c>
      <c r="J24" s="32">
        <f>'Solares Dargebot'!J36*($B$6-$B$10*J$15/'Solares Dargebot'!J36-$B$11*J$15/'Solares Dargebot'!J36^2)*'Solares Dargebot'!J$8*'Solares Dargebot'!J$7/1000</f>
        <v>61.90724240828434</v>
      </c>
      <c r="K24" s="32">
        <f>'Solares Dargebot'!K36*($B$6-$B$10*K$15/'Solares Dargebot'!K36-$B$11*K$15/'Solares Dargebot'!K36^2)*'Solares Dargebot'!K$8*'Solares Dargebot'!K$7/1000</f>
        <v>48.521843294033765</v>
      </c>
      <c r="L24" s="32">
        <f>'Solares Dargebot'!L36*($B$6-$B$10*L$15/'Solares Dargebot'!L36-$B$11*L$15/'Solares Dargebot'!L36^2)*'Solares Dargebot'!L$8*'Solares Dargebot'!L$7/1000</f>
        <v>32.856651533289735</v>
      </c>
      <c r="M24" s="32">
        <f>'Solares Dargebot'!M36*($B$6-$B$10*M$15/'Solares Dargebot'!M36-$B$11*M$15/'Solares Dargebot'!M36^2)*'Solares Dargebot'!M$8*'Solares Dargebot'!M$7/1000</f>
        <v>5.368352083062141</v>
      </c>
      <c r="N24" s="32">
        <f>'Solares Dargebot'!N36*($B$6-$B$10*N$15/'Solares Dargebot'!N36-$B$11*N$15/'Solares Dargebot'!N36^2)*'Solares Dargebot'!N$8*'Solares Dargebot'!N$7/1000</f>
        <v>-4.8374854138585723</v>
      </c>
      <c r="O24" s="39">
        <f t="shared" si="1"/>
        <v>408.14223817070939</v>
      </c>
    </row>
    <row r="25" spans="1:15" ht="15.75" thickBot="1" x14ac:dyDescent="0.3">
      <c r="A25" s="50"/>
      <c r="B25" s="14">
        <v>65</v>
      </c>
      <c r="C25" s="32">
        <f>'Solares Dargebot'!C37*($B$6-$B$10*C$15/'Solares Dargebot'!C37-$B$11*C$15/'Solares Dargebot'!C37^2)*'Solares Dargebot'!C$8*'Solares Dargebot'!C$7/1000</f>
        <v>2.6972042807400429</v>
      </c>
      <c r="D25" s="32">
        <f>'Solares Dargebot'!D37*($B$6-$B$10*D$15/'Solares Dargebot'!D37-$B$11*D$15/'Solares Dargebot'!D37^2)*'Solares Dargebot'!D$8*'Solares Dargebot'!D$7/1000</f>
        <v>16.565470555481561</v>
      </c>
      <c r="E25" s="32">
        <f>'Solares Dargebot'!E37*($B$6-$B$10*E$15/'Solares Dargebot'!E37-$B$11*E$15/'Solares Dargebot'!E37^2)*'Solares Dargebot'!E$8*'Solares Dargebot'!E$7/1000</f>
        <v>29.374927090117509</v>
      </c>
      <c r="F25" s="32">
        <f>'Solares Dargebot'!F37*($B$6-$B$10*F$15/'Solares Dargebot'!F37-$B$11*F$15/'Solares Dargebot'!F37^2)*'Solares Dargebot'!F$8*'Solares Dargebot'!F$7/1000</f>
        <v>49.762288477947237</v>
      </c>
      <c r="G25" s="32">
        <f>'Solares Dargebot'!G37*($B$6-$B$10*G$15/'Solares Dargebot'!G37-$B$11*G$15/'Solares Dargebot'!G37^2)*'Solares Dargebot'!G$8*'Solares Dargebot'!G$7/1000</f>
        <v>45.721092369823801</v>
      </c>
      <c r="H25" s="32">
        <f>'Solares Dargebot'!H37*($B$6-$B$10*H$15/'Solares Dargebot'!H37-$B$11*H$15/'Solares Dargebot'!H37^2)*'Solares Dargebot'!H$8*'Solares Dargebot'!H$7/1000</f>
        <v>42.580051353121348</v>
      </c>
      <c r="I25" s="32">
        <f>'Solares Dargebot'!I37*($B$6-$B$10*I$15/'Solares Dargebot'!I37-$B$11*I$15/'Solares Dargebot'!I37^2)*'Solares Dargebot'!I$8*'Solares Dargebot'!I$7/1000</f>
        <v>51.407098160642562</v>
      </c>
      <c r="J25" s="32">
        <f>'Solares Dargebot'!J37*($B$6-$B$10*J$15/'Solares Dargebot'!J37-$B$11*J$15/'Solares Dargebot'!J37^2)*'Solares Dargebot'!J$8*'Solares Dargebot'!J$7/1000</f>
        <v>56.544156093490685</v>
      </c>
      <c r="K25" s="32">
        <f>'Solares Dargebot'!K37*($B$6-$B$10*K$15/'Solares Dargebot'!K37-$B$11*K$15/'Solares Dargebot'!K37^2)*'Solares Dargebot'!K$8*'Solares Dargebot'!K$7/1000</f>
        <v>46.050462965462337</v>
      </c>
      <c r="L25" s="32">
        <f>'Solares Dargebot'!L37*($B$6-$B$10*L$15/'Solares Dargebot'!L37-$B$11*L$15/'Solares Dargebot'!L37^2)*'Solares Dargebot'!L$8*'Solares Dargebot'!L$7/1000</f>
        <v>32.462544672539671</v>
      </c>
      <c r="M25" s="32">
        <f>'Solares Dargebot'!M37*($B$6-$B$10*M$15/'Solares Dargebot'!M37-$B$11*M$15/'Solares Dargebot'!M37^2)*'Solares Dargebot'!M$8*'Solares Dargebot'!M$7/1000</f>
        <v>5.9327902942990516</v>
      </c>
      <c r="N25" s="32">
        <f>'Solares Dargebot'!N37*($B$6-$B$10*N$15/'Solares Dargebot'!N37-$B$11*N$15/'Solares Dargebot'!N37^2)*'Solares Dargebot'!N$8*'Solares Dargebot'!N$7/1000</f>
        <v>-4.0564944129948746</v>
      </c>
      <c r="O25" s="39">
        <f t="shared" si="1"/>
        <v>375.04159190067088</v>
      </c>
    </row>
    <row r="26" spans="1:15" ht="15.75" thickBot="1" x14ac:dyDescent="0.3">
      <c r="A26" s="50"/>
      <c r="B26" s="14">
        <v>70</v>
      </c>
      <c r="C26" s="32">
        <f>'Solares Dargebot'!C38*($B$6-$B$10*C$15/'Solares Dargebot'!C38-$B$11*C$15/'Solares Dargebot'!C38^2)*'Solares Dargebot'!C$8*'Solares Dargebot'!C$7/1000</f>
        <v>3.0095090118094645</v>
      </c>
      <c r="D26" s="32">
        <f>'Solares Dargebot'!D38*($B$6-$B$10*D$15/'Solares Dargebot'!D38-$B$11*D$15/'Solares Dargebot'!D38^2)*'Solares Dargebot'!D$8*'Solares Dargebot'!D$7/1000</f>
        <v>16.11727558128489</v>
      </c>
      <c r="E26" s="32">
        <f>'Solares Dargebot'!E38*($B$6-$B$10*E$15/'Solares Dargebot'!E38-$B$11*E$15/'Solares Dargebot'!E38^2)*'Solares Dargebot'!E$8*'Solares Dargebot'!E$7/1000</f>
        <v>27.097332070454048</v>
      </c>
      <c r="F26" s="32">
        <f>'Solares Dargebot'!F38*($B$6-$B$10*F$15/'Solares Dargebot'!F38-$B$11*F$15/'Solares Dargebot'!F38^2)*'Solares Dargebot'!F$8*'Solares Dargebot'!F$7/1000</f>
        <v>44.772122057317624</v>
      </c>
      <c r="G26" s="32">
        <f>'Solares Dargebot'!G38*($B$6-$B$10*G$15/'Solares Dargebot'!G38-$B$11*G$15/'Solares Dargebot'!G38^2)*'Solares Dargebot'!G$8*'Solares Dargebot'!G$7/1000</f>
        <v>38.139201937422982</v>
      </c>
      <c r="H26" s="32">
        <f>'Solares Dargebot'!H38*($B$6-$B$10*H$15/'Solares Dargebot'!H38-$B$11*H$15/'Solares Dargebot'!H38^2)*'Solares Dargebot'!H$8*'Solares Dargebot'!H$7/1000</f>
        <v>34.266380473786413</v>
      </c>
      <c r="I26" s="32">
        <f>'Solares Dargebot'!I38*($B$6-$B$10*I$15/'Solares Dargebot'!I38-$B$11*I$15/'Solares Dargebot'!I38^2)*'Solares Dargebot'!I$8*'Solares Dargebot'!I$7/1000</f>
        <v>43.172025770518012</v>
      </c>
      <c r="J26" s="32">
        <f>'Solares Dargebot'!J38*($B$6-$B$10*J$15/'Solares Dargebot'!J38-$B$11*J$15/'Solares Dargebot'!J38^2)*'Solares Dargebot'!J$8*'Solares Dargebot'!J$7/1000</f>
        <v>50.254037240379965</v>
      </c>
      <c r="K26" s="32">
        <f>'Solares Dargebot'!K38*($B$6-$B$10*K$15/'Solares Dargebot'!K38-$B$11*K$15/'Solares Dargebot'!K38^2)*'Solares Dargebot'!K$8*'Solares Dargebot'!K$7/1000</f>
        <v>42.776512903169994</v>
      </c>
      <c r="L26" s="32">
        <f>'Solares Dargebot'!L38*($B$6-$B$10*L$15/'Solares Dargebot'!L38-$B$11*L$15/'Solares Dargebot'!L38^2)*'Solares Dargebot'!L$8*'Solares Dargebot'!L$7/1000</f>
        <v>31.381616051602137</v>
      </c>
      <c r="M26" s="32">
        <f>'Solares Dargebot'!M38*($B$6-$B$10*M$15/'Solares Dargebot'!M38-$B$11*M$15/'Solares Dargebot'!M38^2)*'Solares Dargebot'!M$8*'Solares Dargebot'!M$7/1000</f>
        <v>6.0638332683271257</v>
      </c>
      <c r="N26" s="32">
        <f>'Solares Dargebot'!N38*($B$6-$B$10*N$15/'Solares Dargebot'!N38-$B$11*N$15/'Solares Dargebot'!N38^2)*'Solares Dargebot'!N$8*'Solares Dargebot'!N$7/1000</f>
        <v>-3.6382223809899084</v>
      </c>
      <c r="O26" s="39">
        <f t="shared" si="1"/>
        <v>333.41162398508266</v>
      </c>
    </row>
    <row r="27" spans="1:15" ht="15.75" thickBot="1" x14ac:dyDescent="0.3">
      <c r="A27" s="51"/>
      <c r="B27" s="16">
        <v>75</v>
      </c>
      <c r="C27" s="32">
        <f>'Solares Dargebot'!C39*($B$6-$B$10*C$15/'Solares Dargebot'!C39-$B$11*C$15/'Solares Dargebot'!C39^2)*'Solares Dargebot'!C$8*'Solares Dargebot'!C$7/1000</f>
        <v>2.8810971042049158</v>
      </c>
      <c r="D27" s="32">
        <f>'Solares Dargebot'!D39*($B$6-$B$10*D$15/'Solares Dargebot'!D39-$B$11*D$15/'Solares Dargebot'!D39^2)*'Solares Dargebot'!D$8*'Solares Dargebot'!D$7/1000</f>
        <v>15.114982926586231</v>
      </c>
      <c r="E27" s="32">
        <f>'Solares Dargebot'!E39*($B$6-$B$10*E$15/'Solares Dargebot'!E39-$B$11*E$15/'Solares Dargebot'!E39^2)*'Solares Dargebot'!E$8*'Solares Dargebot'!E$7/1000</f>
        <v>24.088684431348153</v>
      </c>
      <c r="F27" s="32">
        <f>'Solares Dargebot'!F39*($B$6-$B$10*F$15/'Solares Dargebot'!F39-$B$11*F$15/'Solares Dargebot'!F39^2)*'Solares Dargebot'!F$8*'Solares Dargebot'!F$7/1000</f>
        <v>38.949374592318364</v>
      </c>
      <c r="G27" s="32">
        <f>'Solares Dargebot'!G39*($B$6-$B$10*G$15/'Solares Dargebot'!G39-$B$11*G$15/'Solares Dargebot'!G39^2)*'Solares Dargebot'!G$8*'Solares Dargebot'!G$7/1000</f>
        <v>29.694809769838251</v>
      </c>
      <c r="H27" s="32">
        <f>'Solares Dargebot'!H39*($B$6-$B$10*H$15/'Solares Dargebot'!H39-$B$11*H$15/'Solares Dargebot'!H39^2)*'Solares Dargebot'!H$8*'Solares Dargebot'!H$7/1000</f>
        <v>25.149441504708737</v>
      </c>
      <c r="I27" s="32">
        <f>'Solares Dargebot'!I39*($B$6-$B$10*I$15/'Solares Dargebot'!I39-$B$11*I$15/'Solares Dargebot'!I39^2)*'Solares Dargebot'!I$8*'Solares Dargebot'!I$7/1000</f>
        <v>34.084352294211556</v>
      </c>
      <c r="J27" s="32">
        <f>'Solares Dargebot'!J39*($B$6-$B$10*J$15/'Solares Dargebot'!J39-$B$11*J$15/'Solares Dargebot'!J39^2)*'Solares Dargebot'!J$8*'Solares Dargebot'!J$7/1000</f>
        <v>43.084753148457224</v>
      </c>
      <c r="K27" s="32">
        <f>'Solares Dargebot'!K39*($B$6-$B$10*K$15/'Solares Dargebot'!K39-$B$11*K$15/'Solares Dargebot'!K39^2)*'Solares Dargebot'!K$8*'Solares Dargebot'!K$7/1000</f>
        <v>38.724907995301891</v>
      </c>
      <c r="L27" s="32">
        <f>'Solares Dargebot'!L39*($B$6-$B$10*L$15/'Solares Dargebot'!L39-$B$11*L$15/'Solares Dargebot'!L39^2)*'Solares Dargebot'!L$8*'Solares Dargebot'!L$7/1000</f>
        <v>29.622091552962218</v>
      </c>
      <c r="M27" s="32">
        <f>'Solares Dargebot'!M39*($B$6-$B$10*M$15/'Solares Dargebot'!M39-$B$11*M$15/'Solares Dargebot'!M39^2)*'Solares Dargebot'!M$8*'Solares Dargebot'!M$7/1000</f>
        <v>5.7604838236193974</v>
      </c>
      <c r="N27" s="32">
        <f>'Solares Dargebot'!N39*($B$6-$B$10*N$15/'Solares Dargebot'!N39-$B$11*N$15/'Solares Dargebot'!N39^2)*'Solares Dargebot'!N$8*'Solares Dargebot'!N$7/1000</f>
        <v>-3.5858520266494072</v>
      </c>
      <c r="O27" s="43">
        <f t="shared" si="1"/>
        <v>283.56912711690745</v>
      </c>
    </row>
  </sheetData>
  <mergeCells count="4">
    <mergeCell ref="A1:B1"/>
    <mergeCell ref="A13:B13"/>
    <mergeCell ref="A14:B14"/>
    <mergeCell ref="A16:A27"/>
  </mergeCells>
  <conditionalFormatting sqref="C16:N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>
      <selection activeCell="I29" sqref="I29"/>
    </sheetView>
  </sheetViews>
  <sheetFormatPr baseColWidth="10" defaultRowHeight="15" x14ac:dyDescent="0.25"/>
  <cols>
    <col min="1" max="1" width="23.5703125" customWidth="1"/>
    <col min="2" max="2" width="10" customWidth="1"/>
    <col min="3" max="9" width="15.5703125" customWidth="1"/>
  </cols>
  <sheetData>
    <row r="1" spans="1:9" ht="45.75" thickBot="1" x14ac:dyDescent="0.3">
      <c r="A1" s="8" t="s">
        <v>3</v>
      </c>
      <c r="B1" s="8"/>
      <c r="C1" s="7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28</v>
      </c>
      <c r="I1" s="6" t="s">
        <v>29</v>
      </c>
    </row>
    <row r="2" spans="1:9" s="2" customFormat="1" ht="20.25" customHeight="1" x14ac:dyDescent="0.25">
      <c r="A2" s="9" t="s">
        <v>7</v>
      </c>
      <c r="B2" s="9" t="s">
        <v>1</v>
      </c>
      <c r="C2" s="12">
        <v>24</v>
      </c>
      <c r="D2" s="4">
        <v>18</v>
      </c>
      <c r="E2" s="4">
        <v>24</v>
      </c>
      <c r="F2" s="4">
        <v>0</v>
      </c>
      <c r="G2" s="4">
        <v>0</v>
      </c>
      <c r="H2" s="4">
        <v>0</v>
      </c>
      <c r="I2" s="4">
        <v>0</v>
      </c>
    </row>
    <row r="3" spans="1:9" s="2" customFormat="1" ht="20.25" customHeight="1" x14ac:dyDescent="0.25">
      <c r="A3" s="10" t="s">
        <v>20</v>
      </c>
      <c r="B3" s="10" t="s">
        <v>2</v>
      </c>
      <c r="C3" s="13">
        <v>292</v>
      </c>
      <c r="D3" s="3">
        <v>292</v>
      </c>
      <c r="E3" s="3">
        <v>292</v>
      </c>
      <c r="F3" s="3">
        <v>181</v>
      </c>
      <c r="G3" s="3">
        <v>181</v>
      </c>
      <c r="H3" s="3">
        <v>195</v>
      </c>
      <c r="I3" s="3">
        <v>195</v>
      </c>
    </row>
    <row r="4" spans="1:9" s="2" customFormat="1" ht="20.25" customHeight="1" x14ac:dyDescent="0.25">
      <c r="A4" s="10" t="s">
        <v>19</v>
      </c>
      <c r="B4" s="10" t="s">
        <v>1</v>
      </c>
      <c r="C4" s="13">
        <v>0.80100000000000005</v>
      </c>
      <c r="D4" s="3">
        <v>0.72499999999999998</v>
      </c>
      <c r="E4" s="3">
        <v>0.81299999999999994</v>
      </c>
      <c r="F4" s="3">
        <v>0.81799999999999995</v>
      </c>
      <c r="G4" s="3">
        <v>0.86299999999999999</v>
      </c>
      <c r="H4" s="3">
        <v>0.81799999999999995</v>
      </c>
      <c r="I4" s="3">
        <v>0.86299999999999999</v>
      </c>
    </row>
    <row r="5" spans="1:9" s="2" customFormat="1" ht="20.25" customHeight="1" x14ac:dyDescent="0.25">
      <c r="A5" s="10" t="s">
        <v>10</v>
      </c>
      <c r="B5" s="10" t="s">
        <v>22</v>
      </c>
      <c r="C5" s="13">
        <v>1.103</v>
      </c>
      <c r="D5" s="3">
        <v>1.46</v>
      </c>
      <c r="E5" s="3">
        <v>0.998</v>
      </c>
      <c r="F5" s="3">
        <v>3.5379999999999998</v>
      </c>
      <c r="G5" s="3">
        <v>3.1429999999999998</v>
      </c>
      <c r="H5" s="3">
        <v>3.5379999999999998</v>
      </c>
      <c r="I5" s="3">
        <v>3.1429999999999998</v>
      </c>
    </row>
    <row r="6" spans="1:9" s="2" customFormat="1" ht="20.25" customHeight="1" x14ac:dyDescent="0.25">
      <c r="A6" s="10" t="s">
        <v>8</v>
      </c>
      <c r="B6" s="10" t="s">
        <v>23</v>
      </c>
      <c r="C6" s="13">
        <v>7.0000000000000001E-3</v>
      </c>
      <c r="D6" s="3">
        <v>4.0000000000000001E-3</v>
      </c>
      <c r="E6" s="3">
        <v>6.7999999999999996E-3</v>
      </c>
      <c r="F6" s="3">
        <v>2.3E-2</v>
      </c>
      <c r="G6" s="3">
        <v>2.3E-2</v>
      </c>
      <c r="H6" s="3">
        <v>2.3E-2</v>
      </c>
      <c r="I6" s="3">
        <v>2.3E-2</v>
      </c>
    </row>
    <row r="7" spans="1:9" s="2" customFormat="1" ht="20.25" customHeight="1" x14ac:dyDescent="0.25">
      <c r="A7" s="10" t="s">
        <v>14</v>
      </c>
      <c r="B7" s="10" t="s">
        <v>24</v>
      </c>
      <c r="C7" s="13">
        <v>5.73</v>
      </c>
      <c r="D7" s="3">
        <v>5.2</v>
      </c>
      <c r="E7" s="3">
        <v>5.73</v>
      </c>
      <c r="F7" s="3">
        <v>4.5999999999999996</v>
      </c>
      <c r="G7" s="3">
        <v>5</v>
      </c>
      <c r="H7" s="3">
        <v>4.5999999999999996</v>
      </c>
      <c r="I7" s="3">
        <v>5</v>
      </c>
    </row>
    <row r="8" spans="1:9" s="2" customFormat="1" ht="20.25" customHeight="1" x14ac:dyDescent="0.25">
      <c r="A8" s="10" t="s">
        <v>9</v>
      </c>
      <c r="B8" s="10" t="s">
        <v>11</v>
      </c>
      <c r="C8" s="13">
        <v>1.55</v>
      </c>
      <c r="D8" s="3">
        <v>0.92</v>
      </c>
      <c r="E8" s="3">
        <v>1.55</v>
      </c>
      <c r="F8" s="3">
        <v>1.83</v>
      </c>
      <c r="G8" s="3">
        <v>2.48</v>
      </c>
      <c r="H8" s="3">
        <v>1.83</v>
      </c>
      <c r="I8" s="3">
        <v>2.48</v>
      </c>
    </row>
    <row r="9" spans="1:9" s="2" customFormat="1" ht="20.25" customHeight="1" x14ac:dyDescent="0.25">
      <c r="A9" s="10" t="s">
        <v>12</v>
      </c>
      <c r="B9" s="10" t="s">
        <v>13</v>
      </c>
      <c r="C9" s="13">
        <v>6</v>
      </c>
      <c r="D9" s="3">
        <v>6</v>
      </c>
      <c r="E9" s="3">
        <v>6</v>
      </c>
      <c r="F9" s="3">
        <v>6</v>
      </c>
      <c r="G9" s="3">
        <v>6</v>
      </c>
      <c r="H9" s="3">
        <v>6</v>
      </c>
      <c r="I9" s="3">
        <v>6</v>
      </c>
    </row>
    <row r="10" spans="1:9" s="2" customFormat="1" ht="20.25" customHeight="1" x14ac:dyDescent="0.25">
      <c r="A10" s="10" t="s">
        <v>17</v>
      </c>
      <c r="B10" s="10" t="s">
        <v>18</v>
      </c>
      <c r="C10" s="13">
        <v>25</v>
      </c>
      <c r="D10" s="3">
        <v>25</v>
      </c>
      <c r="E10" s="3">
        <v>25</v>
      </c>
      <c r="F10" s="3" t="s">
        <v>30</v>
      </c>
      <c r="G10" s="3" t="s">
        <v>30</v>
      </c>
      <c r="H10" s="3">
        <v>39</v>
      </c>
      <c r="I10" s="3">
        <v>39</v>
      </c>
    </row>
    <row r="11" spans="1:9" s="2" customFormat="1" ht="20.25" customHeight="1" thickBot="1" x14ac:dyDescent="0.3">
      <c r="A11" s="11" t="s">
        <v>21</v>
      </c>
      <c r="B11" s="11" t="s">
        <v>0</v>
      </c>
      <c r="C11" s="13">
        <v>1730</v>
      </c>
      <c r="D11" s="3">
        <v>1650</v>
      </c>
      <c r="E11" s="3">
        <v>1960</v>
      </c>
      <c r="F11" s="3">
        <v>510</v>
      </c>
      <c r="G11" s="3">
        <v>630</v>
      </c>
      <c r="H11" s="3">
        <v>510</v>
      </c>
      <c r="I11" s="3">
        <v>630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Solares Dargebot</vt:lpstr>
      <vt:lpstr>Vakuum-Röhrenkollektor</vt:lpstr>
      <vt:lpstr>Flachkollektor</vt:lpstr>
      <vt:lpstr>Typen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welsch</dc:creator>
  <cp:lastModifiedBy>Holler</cp:lastModifiedBy>
  <dcterms:created xsi:type="dcterms:W3CDTF">2015-03-31T07:17:57Z</dcterms:created>
  <dcterms:modified xsi:type="dcterms:W3CDTF">2025-06-27T08:55:58Z</dcterms:modified>
</cp:coreProperties>
</file>